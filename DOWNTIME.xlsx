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dashboard-prod\"/>
    </mc:Choice>
  </mc:AlternateContent>
  <xr:revisionPtr revIDLastSave="0" documentId="13_ncr:1_{73880D68-D026-4DA5-95DB-B542AF22BC91}" xr6:coauthVersionLast="47" xr6:coauthVersionMax="47" xr10:uidLastSave="{00000000-0000-0000-0000-000000000000}"/>
  <bookViews>
    <workbookView xWindow="-108" yWindow="-108" windowWidth="23256" windowHeight="12456" activeTab="1" xr2:uid="{8C39EA47-22E5-4345-8180-F1B7E0F78576}"/>
  </bookViews>
  <sheets>
    <sheet name="Planilha2" sheetId="2" r:id="rId1"/>
    <sheet name="Planilha1" sheetId="1" r:id="rId2"/>
  </sheets>
  <definedNames>
    <definedName name="_xlnm._FilterDatabase" localSheetId="1" hidden="1">Planilha1!$A$2:$J$41</definedName>
    <definedName name="_xlnm.Print_Area" localSheetId="1">Planilha1!$A$2:$P$41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<sst xmlns="http://schemas.openxmlformats.org/spreadsheetml/2006/main" count="258" uniqueCount="92">
  <si>
    <t xml:space="preserve"> 11:00 AS 12:00</t>
  </si>
  <si>
    <t>PRODUÇÃO</t>
  </si>
  <si>
    <t>POSTO EMBALAGEM</t>
  </si>
  <si>
    <t>VECTOR 3 PAR</t>
  </si>
  <si>
    <t xml:space="preserve"> 06:00 AS 07:00</t>
  </si>
  <si>
    <t>ENGENHARIA INDUSTRIAL</t>
  </si>
  <si>
    <t>BANCADA VERIFICAÇÃO</t>
  </si>
  <si>
    <t>UMA BANCADA DE VERIFICAÇÃO PARADA (EQUIPAMENTO APRESENTANDO ERRO 999)</t>
  </si>
  <si>
    <t xml:space="preserve"> 07:00 AS 08:00</t>
  </si>
  <si>
    <t xml:space="preserve"> 13:00 AS 14:00</t>
  </si>
  <si>
    <t>MATERIAIS</t>
  </si>
  <si>
    <t>ATRASO SEPARAÇÃO OP/PEDIDO</t>
  </si>
  <si>
    <t>ABASTECIMENTO ERRADO DO LACRE</t>
  </si>
  <si>
    <t xml:space="preserve"> 08:00 AS 09:00</t>
  </si>
  <si>
    <t xml:space="preserve"> 09:00 AS 10:00</t>
  </si>
  <si>
    <t>TI</t>
  </si>
  <si>
    <t>FALHA DE COMPUTADOR DE POSTO OPERACIONALCOMPUTADORES TESTES DE PORTA ÓPTICA</t>
  </si>
  <si>
    <t xml:space="preserve"> 12:00 AS 13:00</t>
  </si>
  <si>
    <t>FALHA DE REDE - SEM COMUNICAÇÃO OU FALHANDOCOMPUTADOR TESTES FINAIS</t>
  </si>
  <si>
    <t>QUEDA DE REDE</t>
  </si>
  <si>
    <t>LUMEN3_MD</t>
  </si>
  <si>
    <t xml:space="preserve">SEM INTERNET NA LINHA DE PRODUÇÃO </t>
  </si>
  <si>
    <t>POSTO LACRE</t>
  </si>
  <si>
    <t xml:space="preserve">TAMPA VINDO SEM O SEGUNDO FURO DO LACRE </t>
  </si>
  <si>
    <t xml:space="preserve">COMPUTADOR DA VERIFICAÇÃO TRAVOU 3 VEZES, SENDO NECESSÁRIO O RESET </t>
  </si>
  <si>
    <t>BANCADA PORTA ÓPTICA</t>
  </si>
  <si>
    <t>SET UP NÃO REALIZADO NA BANCADA DE PORTA OPTICA, LINHA ESTÁ RODANDO COM SOMENTE UMA BANCADA.</t>
  </si>
  <si>
    <t>NSX3 112I</t>
  </si>
  <si>
    <t>POSTO FCT</t>
  </si>
  <si>
    <t>PWBA 43539 APRESENTANDO RELAY ABERTO, TIVEMOS QUE TIRAR TODAS AS PWBA DO PROCESSO.</t>
  </si>
  <si>
    <t>ENGª DE CONFIGURAÇÃO/APLICAÇÃO</t>
  </si>
  <si>
    <t>ESPECIFICAÇÃO DE PRODUTO</t>
  </si>
  <si>
    <t>AGUARDANDO LOTE PORTARIA; PORTARIA: 26MAR00019.</t>
  </si>
  <si>
    <t>JOBI-M</t>
  </si>
  <si>
    <t xml:space="preserve">AGUARDANDO LOTE PORTARIA; PORTARIA 26MAR00020. </t>
  </si>
  <si>
    <t>FALHA NO SISTEMA; SEM INTERNET.</t>
  </si>
  <si>
    <t xml:space="preserve"> 15:00 AS 16:00</t>
  </si>
  <si>
    <t>Fechamento de lote, L662 fechado entrando L663</t>
  </si>
  <si>
    <t xml:space="preserve"> 21:00 AS 22:00</t>
  </si>
  <si>
    <t>POSTO MONTAGEM MEDIDOR</t>
  </si>
  <si>
    <t>PROCESSO COLADO COM ASSEMBLY</t>
  </si>
  <si>
    <t xml:space="preserve"> 17:00 AS 18:00</t>
  </si>
  <si>
    <t>NSX3 P213I</t>
  </si>
  <si>
    <t xml:space="preserve"> 18:00 AS 19:00</t>
  </si>
  <si>
    <t xml:space="preserve"> 20:00 AS 21:00</t>
  </si>
  <si>
    <t xml:space="preserve">ONLINE COM O POSTO NIC DEVIDO A DEMORA NA ENTREGA DO FORNECEDOR </t>
  </si>
  <si>
    <t xml:space="preserve"> 19:00 AS 20:00</t>
  </si>
  <si>
    <t>AGUARDANDO PORT 25MAR00021</t>
  </si>
  <si>
    <t xml:space="preserve"> 01:00 AS 02:00</t>
  </si>
  <si>
    <t xml:space="preserve"> 03:00 AS 04:00</t>
  </si>
  <si>
    <t>AGUARDANDO PORTARIA LIBERAR DEVIDO CAL NÃO ATENDER H/H / ENCHENDO PROCESSO</t>
  </si>
  <si>
    <t xml:space="preserve"> 22:00 AS 23:00</t>
  </si>
  <si>
    <t>MATERIAL EM DEPÓSITO EXTERNO/TRANSITO</t>
  </si>
  <si>
    <t>FALTA DETAMPA DO NIC (43003) PARA PRODUZIR. IMPACTANDO META/HORA: RESP: REBECA.</t>
  </si>
  <si>
    <t xml:space="preserve"> 23:00 AS 23:59</t>
  </si>
  <si>
    <t xml:space="preserve"> 23:00 AS 00:00</t>
  </si>
  <si>
    <t xml:space="preserve"> 22:30 AS 23:00</t>
  </si>
  <si>
    <t xml:space="preserve">AGUARDANDO LIBERAÇÃO DE PORTARIA CALL NÃO ATENDE A BECK END </t>
  </si>
  <si>
    <t xml:space="preserve">POSTO DE EMBALAGEM </t>
  </si>
  <si>
    <t xml:space="preserve">ENCHENDO PROCESSO PARA O TURNO SEGUINTE </t>
  </si>
  <si>
    <t>PORTA OPTICA APRESENTANDO O ERRO DE WISUN.</t>
  </si>
  <si>
    <t xml:space="preserve">INJETAVEIS </t>
  </si>
  <si>
    <t>FALTA DO ITEM:0043003 TAMPA DO NIC , O MESMO ESTA VINDO DO FORNECEDOR.</t>
  </si>
  <si>
    <t>PROCESSO ONLINE COM O POSTO DO NIC DEVIDO FALTA DO ITEM 43003 TAMPA DO NIC</t>
  </si>
  <si>
    <t xml:space="preserve">ONLINE COM O POSTO NIC DEVIDO A DEMORA NA ENTREGA DOITEM 43033 </t>
  </si>
  <si>
    <t>00:00 AS 01:00</t>
  </si>
  <si>
    <t>01:00 AS 02:00</t>
  </si>
  <si>
    <t>02:00 AS 03:00</t>
  </si>
  <si>
    <t>Rótulos de Linha</t>
  </si>
  <si>
    <t>Total Geral</t>
  </si>
  <si>
    <t>Soma de Minutos</t>
  </si>
  <si>
    <t>Problemas por áreas</t>
  </si>
  <si>
    <t>data</t>
  </si>
  <si>
    <t>hora</t>
  </si>
  <si>
    <t>turno</t>
  </si>
  <si>
    <t>linha</t>
  </si>
  <si>
    <t>departamento</t>
  </si>
  <si>
    <t>tipo</t>
  </si>
  <si>
    <t>minutos_parados</t>
  </si>
  <si>
    <t>descricao</t>
  </si>
  <si>
    <t>prazo</t>
  </si>
  <si>
    <t>status</t>
  </si>
  <si>
    <t>modelo_produto</t>
  </si>
  <si>
    <t>responsavel</t>
  </si>
  <si>
    <t>ROGÉRIO</t>
  </si>
  <si>
    <t>REBECA/ALEX</t>
  </si>
  <si>
    <t>LEANDRO</t>
  </si>
  <si>
    <t>JANDERSON</t>
  </si>
  <si>
    <t>RODRIGO</t>
  </si>
  <si>
    <t>JOBIM</t>
  </si>
  <si>
    <t>Finalizado</t>
  </si>
  <si>
    <t>Pendente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</si>
</sst>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right"/>
    </xf>
    <xf numFmtId="49" fontId="0" fillId="0" borderId="1" xfId="0" applyNumberForma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49" fontId="0" fillId="0" borderId="2" xfId="0" applyNumberFormat="1" applyBorder="1"/>
    <xf numFmtId="0" fontId="0" fillId="0" borderId="2" xfId="0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pivotButton="1"/>
    <xf numFmtId="0" fontId="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rah Diana de Lima Araujo" refreshedDate="46091.372328124999" createdVersion="8" refreshedVersion="8" minRefreshableVersion="3" recordCount="39" xr:uid="{8D10C3F2-2807-4769-8DEF-9CEFFCFAC161}">
  <cacheSource type="worksheet">
    <worksheetSource ref="A2:L41" sheet="Planilha1"/>
  </cacheSource>
  <cacheFields count="11">
    <cacheField name="Data" numFmtId="14">
      <sharedItems containsSemiMixedTypes="0" containsNonDate="0" containsDate="1" containsString="0" minDate="2026-03-09T00:00:00" maxDate="2026-03-11T00:00:00"/>
    </cacheField>
    <cacheField name="Hora" numFmtId="0">
      <sharedItems/>
    </cacheField>
    <cacheField name="Turno" numFmtId="0">
      <sharedItems containsSemiMixedTypes="0" containsString="0" containsNumber="1" containsInteger="1" minValue="1" maxValue="3"/>
    </cacheField>
    <cacheField name="Linha" numFmtId="0">
      <sharedItems containsSemiMixedTypes="0" containsString="0" containsNumber="1" containsInteger="1" minValue="1" maxValue="8"/>
    </cacheField>
    <cacheField name="Departamento" numFmtId="49">
      <sharedItems count="6">
        <s v="ENGENHARIA INDUSTRIAL"/>
        <s v="TI"/>
        <s v="MATERIAIS"/>
        <s v="PRODUÇÃO"/>
        <s v="INJETAVEIS "/>
        <s v="ENGª DE CONFIGURAÇÃO/APLICAÇÃO"/>
      </sharedItems>
    </cacheField>
    <cacheField name="Tipo" numFmtId="49">
      <sharedItems/>
    </cacheField>
    <cacheField name="Minutos" numFmtId="0">
      <sharedItems containsSemiMixedTypes="0" containsString="0" containsNumber="1" containsInteger="1" minValue="5" maxValue="60"/>
    </cacheField>
    <cacheField name="Descrição" numFmtId="49">
      <sharedItems/>
    </cacheField>
    <cacheField name="Modelo" numFmtId="49">
      <sharedItems/>
    </cacheField>
    <cacheField name="Plano de Ação " numFmtId="0">
      <sharedItems containsNonDate="0" containsString="0" containsBlank="1"/>
    </cacheField>
    <cacheField name="Prazo 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d v="2026-03-09T00:00:00"/>
    <s v=" 06:00 AS 07:00"/>
    <n v="1"/>
    <n v="1"/>
    <x v="0"/>
    <s v="BANCADA VERIFICAÇÃO"/>
    <n v="26"/>
    <s v="UMA BANCADA DE VERIFICAÇÃO PARADA (EQUIPAMENTO APRESENTANDO ERRO 999)"/>
    <s v="VECTOR 3 PAR"/>
    <m/>
    <m/>
  </r>
  <r>
    <d v="2026-03-09T00:00:00"/>
    <s v=" 07:00 AS 08:00"/>
    <n v="1"/>
    <n v="1"/>
    <x v="0"/>
    <s v="BANCADA VERIFICAÇÃO"/>
    <n v="44"/>
    <s v="UMA BANCADA DE VERIFICAÇÃO PARADA (EQUIPAMENTO APRESENTANDO ERRO 999)"/>
    <s v="VECTOR 3 PAR"/>
    <m/>
    <m/>
  </r>
  <r>
    <d v="2026-03-09T00:00:00"/>
    <s v=" 08:00 AS 09:00"/>
    <n v="1"/>
    <n v="1"/>
    <x v="0"/>
    <s v="BANCADA VERIFICAÇÃO"/>
    <n v="45"/>
    <s v="UMA BANCADA DE VERIFICAÇÃO PARADA (EQUIPAMENTO APRESENTANDO ERRO 999)"/>
    <s v="VECTOR 3 PAR"/>
    <m/>
    <m/>
  </r>
  <r>
    <d v="2026-03-09T00:00:00"/>
    <s v=" 12:00 AS 13:00"/>
    <n v="1"/>
    <n v="1"/>
    <x v="1"/>
    <s v="FALHA DE REDE - SEM COMUNICAÇÃO OU FALHANDOCOMPUTADOR TESTES FINAIS"/>
    <n v="50"/>
    <s v="QUEDA DE REDE"/>
    <s v="VECTOR 3 PAR"/>
    <m/>
    <m/>
  </r>
  <r>
    <d v="2026-03-09T00:00:00"/>
    <s v=" 13:00 AS 14:00"/>
    <n v="1"/>
    <n v="1"/>
    <x v="2"/>
    <s v="ATRASO SEPARAÇÃO OP/PEDIDO"/>
    <n v="15"/>
    <s v="ABASTECIMENTO ERRADO DO LACRE"/>
    <s v="VECTOR 3 PAR"/>
    <m/>
    <m/>
  </r>
  <r>
    <d v="2026-03-09T00:00:00"/>
    <s v=" 13:00 AS 14:00"/>
    <n v="1"/>
    <n v="3"/>
    <x v="3"/>
    <s v="POSTO DE EMBALAGEM "/>
    <n v="30"/>
    <s v="ENCHENDO PROCESSO PARA O TURNO SEGUINTE "/>
    <s v="NSX3 P213I"/>
    <m/>
    <m/>
  </r>
  <r>
    <d v="2026-03-09T00:00:00"/>
    <s v=" 09:00 AS 10:00"/>
    <n v="1"/>
    <n v="4"/>
    <x v="3"/>
    <s v="POSTO LACRE"/>
    <n v="15"/>
    <s v="TAMPA VINDO SEM O SEGUNDO FURO DO LACRE "/>
    <s v="LUMEN3_MD"/>
    <m/>
    <m/>
  </r>
  <r>
    <d v="2026-03-09T00:00:00"/>
    <s v=" 12:00 AS 13:00"/>
    <n v="1"/>
    <n v="4"/>
    <x v="1"/>
    <s v="FALHA DE COMPUTADOR DE POSTO OPERACIONALCOMPUTADORES TESTES DE PORTA ÓPTICA"/>
    <n v="15"/>
    <s v="SEM INTERNET NA LINHA DE PRODUÇÃO "/>
    <s v="LUMEN3_MD"/>
    <m/>
    <m/>
  </r>
  <r>
    <d v="2026-03-09T00:00:00"/>
    <s v=" 13:00 AS 14:00"/>
    <n v="1"/>
    <n v="4"/>
    <x v="1"/>
    <s v="FALHA DE COMPUTADOR DE POSTO OPERACIONALCOMPUTADORES TESTES DE PORTA ÓPTICA"/>
    <n v="15"/>
    <s v="COMPUTADOR DA VERIFICAÇÃO TRAVOU 3 VEZES, SENDO NECESSÁRIO O RESET "/>
    <s v="LUMEN3_MD"/>
    <m/>
    <m/>
  </r>
  <r>
    <d v="2026-03-09T00:00:00"/>
    <s v=" 06:00 AS 07:00"/>
    <n v="1"/>
    <n v="5"/>
    <x v="0"/>
    <s v="BANCADA PORTA ÓPTICA"/>
    <n v="26"/>
    <s v="SET UP NÃO REALIZADO NA BANCADA DE PORTA OPTICA, LINHA ESTÁ RODANDO COM SOMENTE UMA BANCADA."/>
    <s v="NSX3 112I"/>
    <m/>
    <m/>
  </r>
  <r>
    <d v="2026-03-09T00:00:00"/>
    <s v=" 07:00 AS 08:00"/>
    <n v="1"/>
    <n v="5"/>
    <x v="3"/>
    <s v="POSTO FCT"/>
    <n v="26"/>
    <s v="PWBA 43539 APRESENTANDO RELAY ABERTO, TIVEMOS QUE TIRAR TODAS AS PWBA DO PROCESSO."/>
    <s v="NSX3 112I"/>
    <m/>
    <m/>
  </r>
  <r>
    <d v="2026-03-09T00:00:00"/>
    <s v=" 08:00 AS 09:00"/>
    <n v="1"/>
    <n v="5"/>
    <x v="3"/>
    <s v="POSTO FCT"/>
    <n v="33"/>
    <s v="PWBA 43539 APRESENTANDO RELAY ABERTO, TIVEMOS QUE TIRAR TODAS AS PWBA DO PROCESSO."/>
    <s v="NSX3 112I"/>
    <m/>
    <m/>
  </r>
  <r>
    <d v="2026-03-09T00:00:00"/>
    <s v=" 09:00 AS 10:00"/>
    <n v="1"/>
    <n v="5"/>
    <x v="3"/>
    <s v="POSTO FCT"/>
    <n v="23"/>
    <s v="PWBA 43539 APRESENTANDO RELAY ABERTO, TIVEMOS QUE TIRAR TODAS AS PWBA DO PROCESSO."/>
    <s v="NSX3 112I"/>
    <m/>
    <m/>
  </r>
  <r>
    <d v="2026-03-09T00:00:00"/>
    <s v=" 11:00 AS 12:00"/>
    <n v="1"/>
    <n v="5"/>
    <x v="0"/>
    <s v="BANCADA PORTA ÓPTICA"/>
    <n v="29"/>
    <s v="PORTA OPTICA APRESENTANDO O ERRO DE WISUN."/>
    <s v="NSX3 112I"/>
    <m/>
    <m/>
  </r>
  <r>
    <d v="2026-03-09T00:00:00"/>
    <s v=" 13:00 AS 14:00"/>
    <n v="1"/>
    <n v="5"/>
    <x v="4"/>
    <s v="MATERIAL EM DEPÓSITO EXTERNO/TRANSITO"/>
    <n v="47"/>
    <s v="FALTA DO ITEM:0043003 TAMPA DO NIC , O MESMO ESTA VINDO DO FORNECEDOR."/>
    <s v="NSX3 112I"/>
    <m/>
    <m/>
  </r>
  <r>
    <d v="2026-03-09T00:00:00"/>
    <s v=" 06:00 AS 07:00"/>
    <n v="1"/>
    <n v="8"/>
    <x v="5"/>
    <s v="ESPECIFICAÇÃO DE PRODUTO"/>
    <n v="60"/>
    <s v="AGUARDANDO LOTE PORTARIA; PORTARIA: 26MAR00019."/>
    <s v="JOBI-M"/>
    <m/>
    <m/>
  </r>
  <r>
    <d v="2026-03-10T00:00:00"/>
    <s v=" 06:00 AS 07:00"/>
    <n v="1"/>
    <n v="8"/>
    <x v="5"/>
    <s v="ESPECIFICAÇÃO DE PRODUTO"/>
    <n v="60"/>
    <s v="AGUARDANDO PORTARIA LIBERAR DEVIDO CAL NÃO ATENDER H/H / ENCHENDO PROCESSO"/>
    <s v="JOBI-M"/>
    <m/>
    <m/>
  </r>
  <r>
    <d v="2026-03-09T00:00:00"/>
    <s v=" 07:00 AS 08:00"/>
    <n v="1"/>
    <n v="8"/>
    <x v="5"/>
    <s v="ESPECIFICAÇÃO DE PRODUTO"/>
    <n v="60"/>
    <s v="AGUARDANDO LOTE PORTARIA; PORTARIA: 26MAR00019."/>
    <s v="JOBI-M"/>
    <m/>
    <m/>
  </r>
  <r>
    <d v="2026-03-09T00:00:00"/>
    <s v=" 12:00 AS 13:00"/>
    <n v="1"/>
    <n v="8"/>
    <x v="1"/>
    <s v="FALHA DE REDE - SEM COMUNICAÇÃO OU FALHANDOCOMPUTADOR TESTES FINAIS"/>
    <n v="19"/>
    <s v="FALHA NO SISTEMA; SEM INTERNET."/>
    <s v="JOBI-M"/>
    <m/>
    <m/>
  </r>
  <r>
    <d v="2026-03-09T00:00:00"/>
    <s v=" 15:00 AS 16:00"/>
    <n v="2"/>
    <n v="1"/>
    <x v="3"/>
    <s v="POSTO EMBALAGEM"/>
    <n v="5"/>
    <s v="Fechamento de lote, L662 fechado entrando L663"/>
    <s v="VECTOR 3 PAR"/>
    <m/>
    <m/>
  </r>
  <r>
    <d v="2026-03-09T00:00:00"/>
    <s v=" 21:00 AS 22:00"/>
    <n v="2"/>
    <n v="1"/>
    <x v="3"/>
    <s v="POSTO MONTAGEM MEDIDOR"/>
    <n v="22"/>
    <s v="PROCESSO COLADO COM ASSEMBLY"/>
    <s v="VECTOR 3 PAR"/>
    <m/>
    <m/>
  </r>
  <r>
    <d v="2026-03-09T00:00:00"/>
    <s v=" 17:00 AS 18:00"/>
    <n v="2"/>
    <n v="3"/>
    <x v="4"/>
    <s v="MATERIAL EM DEPÓSITO EXTERNO/TRANSITO"/>
    <n v="23"/>
    <s v="PROCESSO ONLINE COM O POSTO DO NIC DEVIDO FALTA DO ITEM 43003 TAMPA DO NIC"/>
    <s v="NSX3 P213I"/>
    <m/>
    <m/>
  </r>
  <r>
    <d v="2026-03-09T00:00:00"/>
    <s v=" 17:00 AS 18:00"/>
    <n v="2"/>
    <n v="5"/>
    <x v="4"/>
    <s v="MATERIAL EM DEPÓSITO EXTERNO/TRANSITO"/>
    <n v="60"/>
    <s v="ONLINE COM O POSTO NIC DEVIDO A DEMORA NA ENTREGA DO FORNECEDOR "/>
    <s v="NSX3 112I"/>
    <m/>
    <m/>
  </r>
  <r>
    <d v="2026-03-09T00:00:00"/>
    <s v=" 18:00 AS 19:00"/>
    <n v="2"/>
    <n v="5"/>
    <x v="4"/>
    <s v="MATERIAL EM DEPÓSITO EXTERNO/TRANSITO"/>
    <n v="60"/>
    <s v="ONLINE COM O POSTO NIC DEVIDO A DEMORA NA ENTREGA DOITEM 43033 "/>
    <s v="NSX3 112I"/>
    <m/>
    <m/>
  </r>
  <r>
    <d v="2026-03-09T00:00:00"/>
    <s v=" 19:00 AS 20:00"/>
    <n v="2"/>
    <n v="5"/>
    <x v="4"/>
    <s v="MATERIAL EM DEPÓSITO EXTERNO/TRANSITO"/>
    <n v="20"/>
    <s v="ONLINE COM O POSTO NIC DEVIDO A DEMORA NA ENTREGA DO FORNECEDOR "/>
    <s v="NSX3 112I"/>
    <m/>
    <m/>
  </r>
  <r>
    <d v="2026-03-09T00:00:00"/>
    <s v=" 20:00 AS 21:00"/>
    <n v="2"/>
    <n v="5"/>
    <x v="4"/>
    <s v="MATERIAL EM DEPÓSITO EXTERNO/TRANSITO"/>
    <n v="40"/>
    <s v="ONLINE COM O POSTO NIC DEVIDO A DEMORA NA ENTREGA DO FORNECEDOR "/>
    <s v="NSX3 112I"/>
    <m/>
    <m/>
  </r>
  <r>
    <d v="2026-03-09T00:00:00"/>
    <s v=" 21:00 AS 22:00"/>
    <n v="2"/>
    <n v="5"/>
    <x v="4"/>
    <s v="MATERIAL EM DEPÓSITO EXTERNO/TRANSITO"/>
    <n v="30"/>
    <s v="ONLINE COM O POSTO NIC DEVIDO A DEMORA NA ENTREGA DO FORNECEDOR "/>
    <s v="NSX3 112I"/>
    <m/>
    <m/>
  </r>
  <r>
    <d v="2026-03-09T00:00:00"/>
    <s v=" 20:00 AS 21:00"/>
    <n v="2"/>
    <n v="8"/>
    <x v="5"/>
    <s v="ESPECIFICAÇÃO DE PRODUTO"/>
    <n v="40"/>
    <s v="AGUARDANDO PORT 25MAR00021"/>
    <s v="JOBI-M"/>
    <m/>
    <m/>
  </r>
  <r>
    <d v="2026-03-09T00:00:00"/>
    <s v=" 13:00 AS 14:00"/>
    <n v="1"/>
    <n v="8"/>
    <x v="5"/>
    <s v="ESPECIFICAÇÃO DE PRODUTO"/>
    <n v="33"/>
    <s v="AGUARDANDO LOTE PORTARIA; PORTARIA 26MAR00020. "/>
    <s v="JOBI-M"/>
    <m/>
    <m/>
  </r>
  <r>
    <d v="2026-03-09T00:00:00"/>
    <s v=" 22:00 AS 23:00"/>
    <n v="3"/>
    <n v="3"/>
    <x v="4"/>
    <s v="MATERIAL EM DEPÓSITO EXTERNO/TRANSITO"/>
    <n v="40"/>
    <s v="FALTA DETAMPA DO NIC (43003) PARA PRODUZIR. IMPACTANDO META/HORA: RESP: REBECA."/>
    <s v="NSX3 P213I"/>
    <m/>
    <m/>
  </r>
  <r>
    <d v="2026-03-09T00:00:00"/>
    <s v=" 23:00 AS 23:59"/>
    <n v="3"/>
    <n v="3"/>
    <x v="4"/>
    <s v="MATERIAL EM DEPÓSITO EXTERNO/TRANSITO"/>
    <n v="58"/>
    <s v="FALTA DETAMPA DO NIC (43003) PARA PRODUZIR. IMPACTANDO META/HORA: RESP: REBECA."/>
    <s v="NSX3 P213I"/>
    <m/>
    <m/>
  </r>
  <r>
    <d v="2026-03-09T00:00:00"/>
    <s v=" 03:00 AS 04:00"/>
    <n v="3"/>
    <n v="3"/>
    <x v="4"/>
    <s v="MATERIAL EM DEPÓSITO EXTERNO/TRANSITO"/>
    <n v="42"/>
    <s v="FALTA DETAMPA DO NIC (43003) PARA PRODUZIR. IMPACTANDO META/HORA: RESP: REBECA."/>
    <s v="NSX3 P213I"/>
    <m/>
    <m/>
  </r>
  <r>
    <d v="2026-03-09T00:00:00"/>
    <s v=" 22:30 AS 23:00"/>
    <n v="3"/>
    <n v="5"/>
    <x v="4"/>
    <s v="MATERIAL EM DEPÓSITO EXTERNO/TRANSITO"/>
    <n v="40"/>
    <s v="FALTA DETAMPA DO NIC (43003) PARA PRODUZIR. IMPACTANDO META/HORA: RESP: REBECA."/>
    <s v="NSX3 112I"/>
    <m/>
    <m/>
  </r>
  <r>
    <d v="2026-03-09T00:00:00"/>
    <s v=" 23:00 AS 00:00"/>
    <n v="3"/>
    <n v="5"/>
    <x v="4"/>
    <s v="MATERIAL EM DEPÓSITO EXTERNO/TRANSITO"/>
    <n v="40"/>
    <s v="FALTA DETAMPA DO NIC (43003) PARA PRODUZIR. IMPACTANDO META/HORA: RESP: REBECA."/>
    <s v="NSX3 112I"/>
    <m/>
    <m/>
  </r>
  <r>
    <d v="2026-03-09T00:00:00"/>
    <s v=" 01:00 AS 02:00"/>
    <n v="3"/>
    <n v="8"/>
    <x v="5"/>
    <s v="ESPECIFICAÇÃO DE PRODUTO"/>
    <n v="60"/>
    <s v="AGUARDANDO LIBERAÇÃO DE PORTARIA CALL NÃO ATENDE A BECK END "/>
    <s v="JOBI-M"/>
    <m/>
    <m/>
  </r>
  <r>
    <d v="2026-03-09T00:00:00"/>
    <s v=" 21:00 AS 22:00"/>
    <n v="2"/>
    <n v="3"/>
    <x v="4"/>
    <s v="MATERIAL EM DEPÓSITO EXTERNO/TRANSITO"/>
    <n v="23"/>
    <s v="FALTA DETAMPA DO NIC (43003) PARA PRODUZIR. IMPACTANDO META/HORA: RESP: REBECA."/>
    <s v="NSX3 P213I"/>
    <m/>
    <m/>
  </r>
  <r>
    <d v="2026-03-09T00:00:00"/>
    <s v="00:00 AS 01:00"/>
    <n v="3"/>
    <n v="5"/>
    <x v="4"/>
    <s v="MATERIAL EM DEPÓSITO EXTERNO/TRANSITO"/>
    <n v="50"/>
    <s v="FALTA DETAMPA DO NIC (43003) PARA PRODUZIR. IMPACTANDO META/HORA: RESP: REBECA."/>
    <s v="NSX3 112I"/>
    <m/>
    <m/>
  </r>
  <r>
    <d v="2026-03-09T00:00:00"/>
    <s v="01:00 AS 02:00"/>
    <n v="3"/>
    <n v="5"/>
    <x v="4"/>
    <s v="MATERIAL EM DEPÓSITO EXTERNO/TRANSITO"/>
    <n v="40"/>
    <s v="FALTA DETAMPA DO NIC (43003) PARA PRODUZIR. IMPACTANDO META/HORA: RESP: REBECA."/>
    <s v="NSX3 112I"/>
    <m/>
    <m/>
  </r>
  <r>
    <d v="2026-03-09T00:00:00"/>
    <s v="02:00 AS 03:00"/>
    <n v="3"/>
    <n v="5"/>
    <x v="4"/>
    <s v="MATERIAL EM DEPÓSITO EXTERNO/TRANSITO"/>
    <n v="60"/>
    <s v="FALTA DETAMPA DO NIC (43003) PARA PRODUZIR. IMPACTANDO META/HORA: RESP: REBECA."/>
    <s v="NSX3 112I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D0D94D-60A2-47AD-A02F-97AEAE7592D1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10" firstHeaderRow="1" firstDataRow="1" firstDataCol="1"/>
  <pivotFields count="11">
    <pivotField numFmtId="14" showAll="0"/>
    <pivotField showAll="0"/>
    <pivotField showAll="0"/>
    <pivotField showAll="0"/>
    <pivotField axis="axisRow" showAll="0" sortType="descending">
      <items count="7">
        <item x="5"/>
        <item x="0"/>
        <item x="4"/>
        <item x="2"/>
        <item x="3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</pivotFields>
  <rowFields count="1">
    <field x="4"/>
  </rowFields>
  <rowItems count="7">
    <i>
      <x v="2"/>
    </i>
    <i>
      <x/>
    </i>
    <i>
      <x v="1"/>
    </i>
    <i>
      <x v="4"/>
    </i>
    <i>
      <x v="5"/>
    </i>
    <i>
      <x v="3"/>
    </i>
    <i t="grand">
      <x/>
    </i>
  </rowItems>
  <colItems count="1">
    <i/>
  </colItems>
  <dataFields count="1">
    <dataField name="Soma de Minuto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7DD0B-6665-4E32-A98C-0747DB3147F4}">
  <dimension ref="A3:B10"/>
  <sheetViews>
    <sheetView workbookViewId="0">
      <selection activeCell="C34" sqref="C34"/>
    </sheetView>
  </sheetViews>
  <sheetFormatPr defaultRowHeight="14.4" x14ac:dyDescent="0.3"/>
  <cols>
    <col min="1" max="1" width="35" bestFit="1" customWidth="1"/>
    <col min="2" max="2" width="16.5546875" bestFit="1" customWidth="1"/>
  </cols>
  <sheetData>
    <row r="3" spans="1:2" x14ac:dyDescent="0.3">
      <c r="A3" s="18" t="s">
        <v>68</v>
      </c>
      <c r="B3" t="s">
        <v>70</v>
      </c>
    </row>
    <row r="4" spans="1:2" x14ac:dyDescent="0.3">
      <c r="A4" s="17" t="s">
        <v>61</v>
      </c>
      <c r="B4">
        <v>673</v>
      </c>
    </row>
    <row r="5" spans="1:2" x14ac:dyDescent="0.3">
      <c r="A5" s="17" t="s">
        <v>30</v>
      </c>
      <c r="B5">
        <v>313</v>
      </c>
    </row>
    <row r="6" spans="1:2" x14ac:dyDescent="0.3">
      <c r="A6" s="17" t="s">
        <v>5</v>
      </c>
      <c r="B6">
        <v>170</v>
      </c>
    </row>
    <row r="7" spans="1:2" x14ac:dyDescent="0.3">
      <c r="A7" s="17" t="s">
        <v>1</v>
      </c>
      <c r="B7">
        <v>154</v>
      </c>
    </row>
    <row r="8" spans="1:2" x14ac:dyDescent="0.3">
      <c r="A8" s="17" t="s">
        <v>15</v>
      </c>
      <c r="B8">
        <v>99</v>
      </c>
    </row>
    <row r="9" spans="1:2" x14ac:dyDescent="0.3">
      <c r="A9" s="17" t="s">
        <v>10</v>
      </c>
      <c r="B9">
        <v>15</v>
      </c>
    </row>
    <row r="10" spans="1:2" x14ac:dyDescent="0.3">
      <c r="A10" s="17" t="s">
        <v>69</v>
      </c>
      <c r="B10">
        <v>1424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44410-15BB-46A0-8397-3A0D098D7C72}">
  <dimension ref="A1:L41"/>
  <sheetViews>
    <sheetView showGridLines="0" tabSelected="1" zoomScale="85" zoomScaleNormal="85" workbookViewId="0">
      <selection activeCell="E2" sqref="E2"/>
    </sheetView>
  </sheetViews>
  <sheetFormatPr defaultRowHeight="14.4" x14ac:dyDescent="0.3"/>
  <cols>
    <col min="1" max="2" width="12.6640625" customWidth="1"/>
    <col min="3" max="3" width="27.33203125" style="6" customWidth="1"/>
    <col min="4" max="5" width="22.6640625" style="6" customWidth="1"/>
    <col min="6" max="6" width="35" bestFit="1" customWidth="1"/>
    <col min="7" max="7" width="26.109375" customWidth="1"/>
    <col min="8" max="8" width="20" style="7" bestFit="1" customWidth="1"/>
    <col min="9" max="9" width="102.5546875" bestFit="1" customWidth="1"/>
    <col min="10" max="10" width="18.33203125" bestFit="1" customWidth="1"/>
    <col min="11" max="11" width="45.33203125" customWidth="1"/>
  </cols>
  <sheetData>
    <row r="1" spans="1:12" ht="31.2" x14ac:dyDescent="0.6">
      <c r="A1" s="19" t="s">
        <v>71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12" x14ac:dyDescent="0.3">
      <c r="A2" s="14" t="s">
        <v>72</v>
      </c>
      <c r="B2" s="14" t="s">
        <v>73</v>
      </c>
      <c r="C2" s="14" t="s">
        <v>74</v>
      </c>
      <c r="D2" s="14" t="s">
        <v>75</v>
      </c>
      <c r="E2" s="14" t="s">
        <v>83</v>
      </c>
      <c r="F2" s="14" t="s">
        <v>76</v>
      </c>
      <c r="G2" s="14" t="s">
        <v>77</v>
      </c>
      <c r="H2" s="15" t="s">
        <v>78</v>
      </c>
      <c r="I2" s="14" t="s">
        <v>79</v>
      </c>
      <c r="J2" s="14" t="s">
        <v>82</v>
      </c>
      <c r="K2" s="16" t="s">
        <v>81</v>
      </c>
      <c r="L2" s="16" t="s">
        <v>80</v>
      </c>
    </row>
    <row r="3" spans="1:12" x14ac:dyDescent="0.3">
      <c r="A3" s="9">
        <v>46090</v>
      </c>
      <c r="B3" s="10" t="s">
        <v>4</v>
      </c>
      <c r="C3" s="11">
        <v>1</v>
      </c>
      <c r="D3" s="11">
        <v>1</v>
      </c>
      <c r="E3" s="11" t="s">
        <v>84</v>
      </c>
      <c r="F3" s="12" t="s">
        <v>5</v>
      </c>
      <c r="G3" s="12" t="s">
        <v>6</v>
      </c>
      <c r="H3" s="13">
        <v>26</v>
      </c>
      <c r="I3" s="12" t="s">
        <v>7</v>
      </c>
      <c r="J3" s="5" t="s">
        <v>3</v>
      </c>
      <c r="K3" s="1" t="s">
        <v>90</v>
      </c>
      <c r="L3" s="1"/>
    </row>
    <row r="4" spans="1:12" x14ac:dyDescent="0.3">
      <c r="A4" s="3">
        <v>46090</v>
      </c>
      <c r="B4" s="4" t="s">
        <v>8</v>
      </c>
      <c r="C4" s="2">
        <v>1</v>
      </c>
      <c r="D4" s="2">
        <v>1</v>
      </c>
      <c r="E4" s="11" t="s">
        <v>84</v>
      </c>
      <c r="F4" s="5" t="s">
        <v>5</v>
      </c>
      <c r="G4" s="5" t="s">
        <v>6</v>
      </c>
      <c r="H4" s="8">
        <v>44</v>
      </c>
      <c r="I4" s="5" t="s">
        <v>7</v>
      </c>
      <c r="J4" s="5" t="s">
        <v>3</v>
      </c>
      <c r="K4" s="1" t="s">
        <v>91</v>
      </c>
      <c r="L4" s="1"/>
    </row>
    <row r="5" spans="1:12" x14ac:dyDescent="0.3">
      <c r="A5" s="3">
        <v>46090</v>
      </c>
      <c r="B5" s="4" t="s">
        <v>13</v>
      </c>
      <c r="C5" s="2">
        <v>1</v>
      </c>
      <c r="D5" s="2">
        <v>1</v>
      </c>
      <c r="E5" s="11" t="s">
        <v>84</v>
      </c>
      <c r="F5" s="5" t="s">
        <v>5</v>
      </c>
      <c r="G5" s="5" t="s">
        <v>6</v>
      </c>
      <c r="H5" s="8">
        <v>45</v>
      </c>
      <c r="I5" s="5" t="s">
        <v>7</v>
      </c>
      <c r="J5" s="5" t="s">
        <v>3</v>
      </c>
      <c r="K5" s="1"/>
      <c r="L5" s="1"/>
    </row>
    <row r="6" spans="1:12" x14ac:dyDescent="0.3">
      <c r="A6" s="3">
        <v>46090</v>
      </c>
      <c r="B6" s="4" t="s">
        <v>17</v>
      </c>
      <c r="C6" s="2">
        <v>1</v>
      </c>
      <c r="D6" s="2">
        <v>1</v>
      </c>
      <c r="E6" s="2" t="s">
        <v>88</v>
      </c>
      <c r="F6" s="5" t="s">
        <v>15</v>
      </c>
      <c r="G6" s="5" t="s">
        <v>18</v>
      </c>
      <c r="H6" s="8">
        <v>50</v>
      </c>
      <c r="I6" s="5" t="s">
        <v>19</v>
      </c>
      <c r="J6" s="5" t="s">
        <v>3</v>
      </c>
      <c r="K6" s="1"/>
      <c r="L6" s="1"/>
    </row>
    <row r="7" spans="1:12" x14ac:dyDescent="0.3">
      <c r="A7" s="3">
        <v>46090</v>
      </c>
      <c r="B7" s="4" t="s">
        <v>9</v>
      </c>
      <c r="C7" s="2">
        <v>1</v>
      </c>
      <c r="D7" s="2">
        <v>1</v>
      </c>
      <c r="E7" s="2" t="s">
        <v>86</v>
      </c>
      <c r="F7" s="5" t="s">
        <v>10</v>
      </c>
      <c r="G7" s="5" t="s">
        <v>11</v>
      </c>
      <c r="H7" s="8">
        <v>15</v>
      </c>
      <c r="I7" s="5" t="s">
        <v>12</v>
      </c>
      <c r="J7" s="5" t="s">
        <v>3</v>
      </c>
      <c r="K7" s="1"/>
      <c r="L7" s="1"/>
    </row>
    <row r="8" spans="1:12" x14ac:dyDescent="0.3">
      <c r="A8" s="3">
        <v>46090</v>
      </c>
      <c r="B8" s="4" t="s">
        <v>9</v>
      </c>
      <c r="C8" s="2">
        <v>1</v>
      </c>
      <c r="D8" s="2">
        <v>3</v>
      </c>
      <c r="E8" s="2" t="s">
        <v>87</v>
      </c>
      <c r="F8" s="5" t="s">
        <v>1</v>
      </c>
      <c r="G8" s="5" t="s">
        <v>58</v>
      </c>
      <c r="H8" s="8">
        <v>30</v>
      </c>
      <c r="I8" s="5" t="s">
        <v>59</v>
      </c>
      <c r="J8" s="5" t="s">
        <v>42</v>
      </c>
      <c r="K8" s="1"/>
      <c r="L8" s="1"/>
    </row>
    <row r="9" spans="1:12" x14ac:dyDescent="0.3">
      <c r="A9" s="3">
        <v>46090</v>
      </c>
      <c r="B9" s="4" t="s">
        <v>14</v>
      </c>
      <c r="C9" s="2">
        <v>1</v>
      </c>
      <c r="D9" s="2">
        <v>4</v>
      </c>
      <c r="E9" s="2" t="s">
        <v>87</v>
      </c>
      <c r="F9" s="5" t="s">
        <v>1</v>
      </c>
      <c r="G9" s="5" t="s">
        <v>22</v>
      </c>
      <c r="H9" s="8">
        <v>15</v>
      </c>
      <c r="I9" s="5" t="s">
        <v>23</v>
      </c>
      <c r="J9" s="5" t="s">
        <v>20</v>
      </c>
      <c r="K9" s="1"/>
      <c r="L9" s="1"/>
    </row>
    <row r="10" spans="1:12" x14ac:dyDescent="0.3">
      <c r="A10" s="3">
        <v>46090</v>
      </c>
      <c r="B10" s="4" t="s">
        <v>17</v>
      </c>
      <c r="C10" s="2">
        <v>1</v>
      </c>
      <c r="D10" s="2">
        <v>4</v>
      </c>
      <c r="E10" s="2" t="s">
        <v>88</v>
      </c>
      <c r="F10" s="5" t="s">
        <v>15</v>
      </c>
      <c r="G10" s="5" t="s">
        <v>16</v>
      </c>
      <c r="H10" s="8">
        <v>15</v>
      </c>
      <c r="I10" s="5" t="s">
        <v>21</v>
      </c>
      <c r="J10" s="5" t="s">
        <v>20</v>
      </c>
      <c r="K10" s="1"/>
      <c r="L10" s="1"/>
    </row>
    <row r="11" spans="1:12" x14ac:dyDescent="0.3">
      <c r="A11" s="3">
        <v>46090</v>
      </c>
      <c r="B11" s="4" t="s">
        <v>9</v>
      </c>
      <c r="C11" s="2">
        <v>1</v>
      </c>
      <c r="D11" s="2">
        <v>4</v>
      </c>
      <c r="E11" s="2" t="s">
        <v>88</v>
      </c>
      <c r="F11" s="5" t="s">
        <v>15</v>
      </c>
      <c r="G11" s="5" t="s">
        <v>16</v>
      </c>
      <c r="H11" s="8">
        <v>15</v>
      </c>
      <c r="I11" s="5" t="s">
        <v>24</v>
      </c>
      <c r="J11" s="5" t="s">
        <v>20</v>
      </c>
      <c r="K11" s="1"/>
      <c r="L11" s="1"/>
    </row>
    <row r="12" spans="1:12" x14ac:dyDescent="0.3">
      <c r="A12" s="3">
        <v>46090</v>
      </c>
      <c r="B12" s="4" t="s">
        <v>4</v>
      </c>
      <c r="C12" s="2">
        <v>1</v>
      </c>
      <c r="D12" s="2">
        <v>5</v>
      </c>
      <c r="E12" s="11" t="s">
        <v>84</v>
      </c>
      <c r="F12" s="5" t="s">
        <v>5</v>
      </c>
      <c r="G12" s="5" t="s">
        <v>25</v>
      </c>
      <c r="H12" s="8">
        <v>26</v>
      </c>
      <c r="I12" s="5" t="s">
        <v>26</v>
      </c>
      <c r="J12" s="5" t="s">
        <v>27</v>
      </c>
      <c r="K12" s="1"/>
      <c r="L12" s="1"/>
    </row>
    <row r="13" spans="1:12" x14ac:dyDescent="0.3">
      <c r="A13" s="3">
        <v>46090</v>
      </c>
      <c r="B13" s="4" t="s">
        <v>8</v>
      </c>
      <c r="C13" s="2">
        <v>1</v>
      </c>
      <c r="D13" s="2">
        <v>5</v>
      </c>
      <c r="E13" s="2" t="s">
        <v>87</v>
      </c>
      <c r="F13" s="5" t="s">
        <v>1</v>
      </c>
      <c r="G13" s="5" t="s">
        <v>28</v>
      </c>
      <c r="H13" s="8">
        <v>26</v>
      </c>
      <c r="I13" s="5" t="s">
        <v>29</v>
      </c>
      <c r="J13" s="5" t="s">
        <v>27</v>
      </c>
      <c r="K13" s="1"/>
      <c r="L13" s="1"/>
    </row>
    <row r="14" spans="1:12" x14ac:dyDescent="0.3">
      <c r="A14" s="3">
        <v>46090</v>
      </c>
      <c r="B14" s="4" t="s">
        <v>13</v>
      </c>
      <c r="C14" s="2">
        <v>1</v>
      </c>
      <c r="D14" s="2">
        <v>5</v>
      </c>
      <c r="E14" s="2" t="s">
        <v>87</v>
      </c>
      <c r="F14" s="5" t="s">
        <v>1</v>
      </c>
      <c r="G14" s="5" t="s">
        <v>28</v>
      </c>
      <c r="H14" s="8">
        <v>33</v>
      </c>
      <c r="I14" s="5" t="s">
        <v>29</v>
      </c>
      <c r="J14" s="5" t="s">
        <v>27</v>
      </c>
      <c r="K14" s="1"/>
      <c r="L14" s="1"/>
    </row>
    <row r="15" spans="1:12" x14ac:dyDescent="0.3">
      <c r="A15" s="3">
        <v>46090</v>
      </c>
      <c r="B15" s="4" t="s">
        <v>14</v>
      </c>
      <c r="C15" s="2">
        <v>1</v>
      </c>
      <c r="D15" s="2">
        <v>5</v>
      </c>
      <c r="E15" s="2" t="s">
        <v>87</v>
      </c>
      <c r="F15" s="5" t="s">
        <v>1</v>
      </c>
      <c r="G15" s="5" t="s">
        <v>28</v>
      </c>
      <c r="H15" s="8">
        <v>23</v>
      </c>
      <c r="I15" s="5" t="s">
        <v>29</v>
      </c>
      <c r="J15" s="5" t="s">
        <v>27</v>
      </c>
      <c r="K15" s="1"/>
      <c r="L15" s="1"/>
    </row>
    <row r="16" spans="1:12" x14ac:dyDescent="0.3">
      <c r="A16" s="3">
        <v>46090</v>
      </c>
      <c r="B16" s="4" t="s">
        <v>0</v>
      </c>
      <c r="C16" s="2">
        <v>1</v>
      </c>
      <c r="D16" s="2">
        <v>5</v>
      </c>
      <c r="E16" s="11" t="s">
        <v>84</v>
      </c>
      <c r="F16" s="5" t="s">
        <v>5</v>
      </c>
      <c r="G16" s="5" t="s">
        <v>25</v>
      </c>
      <c r="H16" s="8">
        <v>29</v>
      </c>
      <c r="I16" s="5" t="s">
        <v>60</v>
      </c>
      <c r="J16" s="5" t="s">
        <v>27</v>
      </c>
      <c r="K16" s="1"/>
      <c r="L16" s="1"/>
    </row>
    <row r="17" spans="1:12" x14ac:dyDescent="0.3">
      <c r="A17" s="3">
        <v>46090</v>
      </c>
      <c r="B17" s="4" t="s">
        <v>9</v>
      </c>
      <c r="C17" s="2">
        <v>1</v>
      </c>
      <c r="D17" s="2">
        <v>5</v>
      </c>
      <c r="E17" s="2" t="s">
        <v>85</v>
      </c>
      <c r="F17" s="5" t="s">
        <v>61</v>
      </c>
      <c r="G17" s="5" t="s">
        <v>52</v>
      </c>
      <c r="H17" s="8">
        <v>47</v>
      </c>
      <c r="I17" s="5" t="s">
        <v>62</v>
      </c>
      <c r="J17" s="5" t="s">
        <v>27</v>
      </c>
      <c r="K17" s="1"/>
      <c r="L17" s="1"/>
    </row>
    <row r="18" spans="1:12" x14ac:dyDescent="0.3">
      <c r="A18" s="3">
        <v>46090</v>
      </c>
      <c r="B18" s="4" t="s">
        <v>4</v>
      </c>
      <c r="C18" s="2">
        <v>1</v>
      </c>
      <c r="D18" s="2">
        <v>8</v>
      </c>
      <c r="E18" s="2" t="s">
        <v>89</v>
      </c>
      <c r="F18" s="5" t="s">
        <v>30</v>
      </c>
      <c r="G18" s="5" t="s">
        <v>31</v>
      </c>
      <c r="H18" s="8">
        <v>60</v>
      </c>
      <c r="I18" s="5" t="s">
        <v>32</v>
      </c>
      <c r="J18" s="5" t="s">
        <v>33</v>
      </c>
      <c r="K18" s="1"/>
      <c r="L18" s="1"/>
    </row>
    <row r="19" spans="1:12" x14ac:dyDescent="0.3">
      <c r="A19" s="3">
        <v>46091</v>
      </c>
      <c r="B19" s="4" t="s">
        <v>4</v>
      </c>
      <c r="C19" s="2">
        <v>1</v>
      </c>
      <c r="D19" s="2">
        <v>8</v>
      </c>
      <c r="E19" s="2" t="s">
        <v>89</v>
      </c>
      <c r="F19" s="5" t="s">
        <v>30</v>
      </c>
      <c r="G19" s="5" t="s">
        <v>31</v>
      </c>
      <c r="H19" s="8">
        <v>60</v>
      </c>
      <c r="I19" s="5" t="s">
        <v>50</v>
      </c>
      <c r="J19" s="5" t="s">
        <v>33</v>
      </c>
      <c r="K19" s="1"/>
      <c r="L19" s="1"/>
    </row>
    <row r="20" spans="1:12" x14ac:dyDescent="0.3">
      <c r="A20" s="3">
        <v>46090</v>
      </c>
      <c r="B20" s="4" t="s">
        <v>8</v>
      </c>
      <c r="C20" s="2">
        <v>1</v>
      </c>
      <c r="D20" s="2">
        <v>8</v>
      </c>
      <c r="E20" s="2" t="s">
        <v>89</v>
      </c>
      <c r="F20" s="5" t="s">
        <v>30</v>
      </c>
      <c r="G20" s="5" t="s">
        <v>31</v>
      </c>
      <c r="H20" s="8">
        <v>60</v>
      </c>
      <c r="I20" s="5" t="s">
        <v>32</v>
      </c>
      <c r="J20" s="5" t="s">
        <v>33</v>
      </c>
      <c r="K20" s="1"/>
      <c r="L20" s="1"/>
    </row>
    <row r="21" spans="1:12" x14ac:dyDescent="0.3">
      <c r="A21" s="3">
        <v>46090</v>
      </c>
      <c r="B21" s="4" t="s">
        <v>17</v>
      </c>
      <c r="C21" s="2">
        <v>1</v>
      </c>
      <c r="D21" s="2">
        <v>8</v>
      </c>
      <c r="E21" s="2" t="s">
        <v>88</v>
      </c>
      <c r="F21" s="5" t="s">
        <v>15</v>
      </c>
      <c r="G21" s="5" t="s">
        <v>18</v>
      </c>
      <c r="H21" s="8">
        <v>19</v>
      </c>
      <c r="I21" s="5" t="s">
        <v>35</v>
      </c>
      <c r="J21" s="5" t="s">
        <v>33</v>
      </c>
      <c r="K21" s="1"/>
      <c r="L21" s="1"/>
    </row>
    <row r="22" spans="1:12" x14ac:dyDescent="0.3">
      <c r="A22" s="3">
        <v>46090</v>
      </c>
      <c r="B22" s="4" t="s">
        <v>36</v>
      </c>
      <c r="C22" s="2">
        <v>2</v>
      </c>
      <c r="D22" s="2">
        <v>1</v>
      </c>
      <c r="E22" s="2" t="s">
        <v>87</v>
      </c>
      <c r="F22" s="5" t="s">
        <v>1</v>
      </c>
      <c r="G22" s="5" t="s">
        <v>2</v>
      </c>
      <c r="H22" s="8">
        <v>5</v>
      </c>
      <c r="I22" s="5" t="s">
        <v>37</v>
      </c>
      <c r="J22" s="5" t="s">
        <v>3</v>
      </c>
      <c r="K22" s="1"/>
      <c r="L22" s="1"/>
    </row>
    <row r="23" spans="1:12" x14ac:dyDescent="0.3">
      <c r="A23" s="3">
        <v>46090</v>
      </c>
      <c r="B23" s="4" t="s">
        <v>38</v>
      </c>
      <c r="C23" s="2">
        <v>2</v>
      </c>
      <c r="D23" s="2">
        <v>1</v>
      </c>
      <c r="E23" s="2" t="s">
        <v>87</v>
      </c>
      <c r="F23" s="5" t="s">
        <v>1</v>
      </c>
      <c r="G23" s="5" t="s">
        <v>39</v>
      </c>
      <c r="H23" s="8">
        <v>22</v>
      </c>
      <c r="I23" s="5" t="s">
        <v>40</v>
      </c>
      <c r="J23" s="5" t="s">
        <v>3</v>
      </c>
      <c r="K23" s="1"/>
      <c r="L23" s="1"/>
    </row>
    <row r="24" spans="1:12" x14ac:dyDescent="0.3">
      <c r="A24" s="3">
        <v>46090</v>
      </c>
      <c r="B24" s="4" t="s">
        <v>41</v>
      </c>
      <c r="C24" s="2">
        <v>2</v>
      </c>
      <c r="D24" s="2">
        <v>3</v>
      </c>
      <c r="E24" s="2" t="s">
        <v>85</v>
      </c>
      <c r="F24" s="5" t="s">
        <v>61</v>
      </c>
      <c r="G24" s="5" t="s">
        <v>52</v>
      </c>
      <c r="H24" s="8">
        <v>23</v>
      </c>
      <c r="I24" s="5" t="s">
        <v>63</v>
      </c>
      <c r="J24" s="5" t="s">
        <v>42</v>
      </c>
      <c r="K24" s="1"/>
      <c r="L24" s="1"/>
    </row>
    <row r="25" spans="1:12" x14ac:dyDescent="0.3">
      <c r="A25" s="3">
        <v>46090</v>
      </c>
      <c r="B25" s="4" t="s">
        <v>41</v>
      </c>
      <c r="C25" s="2">
        <v>2</v>
      </c>
      <c r="D25" s="2">
        <v>5</v>
      </c>
      <c r="E25" s="2" t="s">
        <v>85</v>
      </c>
      <c r="F25" s="5" t="s">
        <v>61</v>
      </c>
      <c r="G25" s="5" t="s">
        <v>52</v>
      </c>
      <c r="H25" s="8">
        <v>60</v>
      </c>
      <c r="I25" s="5" t="s">
        <v>45</v>
      </c>
      <c r="J25" s="5" t="s">
        <v>27</v>
      </c>
      <c r="K25" s="1"/>
      <c r="L25" s="1"/>
    </row>
    <row r="26" spans="1:12" x14ac:dyDescent="0.3">
      <c r="A26" s="3">
        <v>46090</v>
      </c>
      <c r="B26" s="4" t="s">
        <v>43</v>
      </c>
      <c r="C26" s="2">
        <v>2</v>
      </c>
      <c r="D26" s="2">
        <v>5</v>
      </c>
      <c r="E26" s="2" t="s">
        <v>85</v>
      </c>
      <c r="F26" s="5" t="s">
        <v>61</v>
      </c>
      <c r="G26" s="5" t="s">
        <v>52</v>
      </c>
      <c r="H26" s="8">
        <v>60</v>
      </c>
      <c r="I26" s="5" t="s">
        <v>64</v>
      </c>
      <c r="J26" s="5" t="s">
        <v>27</v>
      </c>
      <c r="K26" s="1"/>
      <c r="L26" s="1"/>
    </row>
    <row r="27" spans="1:12" x14ac:dyDescent="0.3">
      <c r="A27" s="3">
        <v>46090</v>
      </c>
      <c r="B27" s="4" t="s">
        <v>46</v>
      </c>
      <c r="C27" s="2">
        <v>2</v>
      </c>
      <c r="D27" s="2">
        <v>5</v>
      </c>
      <c r="E27" s="2" t="s">
        <v>85</v>
      </c>
      <c r="F27" s="5" t="s">
        <v>61</v>
      </c>
      <c r="G27" s="5" t="s">
        <v>52</v>
      </c>
      <c r="H27" s="8">
        <v>20</v>
      </c>
      <c r="I27" s="5" t="s">
        <v>45</v>
      </c>
      <c r="J27" s="5" t="s">
        <v>27</v>
      </c>
      <c r="K27" s="1"/>
      <c r="L27" s="1"/>
    </row>
    <row r="28" spans="1:12" x14ac:dyDescent="0.3">
      <c r="A28" s="3">
        <v>46090</v>
      </c>
      <c r="B28" s="4" t="s">
        <v>44</v>
      </c>
      <c r="C28" s="2">
        <v>2</v>
      </c>
      <c r="D28" s="2">
        <v>5</v>
      </c>
      <c r="E28" s="2" t="s">
        <v>85</v>
      </c>
      <c r="F28" s="5" t="s">
        <v>61</v>
      </c>
      <c r="G28" s="5" t="s">
        <v>52</v>
      </c>
      <c r="H28" s="8">
        <v>40</v>
      </c>
      <c r="I28" s="5" t="s">
        <v>45</v>
      </c>
      <c r="J28" s="5" t="s">
        <v>27</v>
      </c>
      <c r="K28" s="1"/>
      <c r="L28" s="1"/>
    </row>
    <row r="29" spans="1:12" x14ac:dyDescent="0.3">
      <c r="A29" s="3">
        <v>46090</v>
      </c>
      <c r="B29" s="4" t="s">
        <v>38</v>
      </c>
      <c r="C29" s="2">
        <v>2</v>
      </c>
      <c r="D29" s="2">
        <v>5</v>
      </c>
      <c r="E29" s="2" t="s">
        <v>85</v>
      </c>
      <c r="F29" s="5" t="s">
        <v>61</v>
      </c>
      <c r="G29" s="5" t="s">
        <v>52</v>
      </c>
      <c r="H29" s="8">
        <v>30</v>
      </c>
      <c r="I29" s="5" t="s">
        <v>45</v>
      </c>
      <c r="J29" s="5" t="s">
        <v>27</v>
      </c>
      <c r="K29" s="1"/>
      <c r="L29" s="1"/>
    </row>
    <row r="30" spans="1:12" x14ac:dyDescent="0.3">
      <c r="A30" s="3">
        <v>46090</v>
      </c>
      <c r="B30" s="4" t="s">
        <v>44</v>
      </c>
      <c r="C30" s="2">
        <v>2</v>
      </c>
      <c r="D30" s="2">
        <v>8</v>
      </c>
      <c r="E30" s="2" t="s">
        <v>89</v>
      </c>
      <c r="F30" s="5" t="s">
        <v>30</v>
      </c>
      <c r="G30" s="5" t="s">
        <v>31</v>
      </c>
      <c r="H30" s="8">
        <v>40</v>
      </c>
      <c r="I30" s="5" t="s">
        <v>47</v>
      </c>
      <c r="J30" s="5" t="s">
        <v>33</v>
      </c>
      <c r="K30" s="1"/>
      <c r="L30" s="1"/>
    </row>
    <row r="31" spans="1:12" x14ac:dyDescent="0.3">
      <c r="A31" s="3">
        <v>46090</v>
      </c>
      <c r="B31" s="4" t="s">
        <v>9</v>
      </c>
      <c r="C31" s="2">
        <v>1</v>
      </c>
      <c r="D31" s="2">
        <v>8</v>
      </c>
      <c r="E31" s="2" t="s">
        <v>89</v>
      </c>
      <c r="F31" s="5" t="s">
        <v>30</v>
      </c>
      <c r="G31" s="5" t="s">
        <v>31</v>
      </c>
      <c r="H31" s="8">
        <v>33</v>
      </c>
      <c r="I31" s="5" t="s">
        <v>34</v>
      </c>
      <c r="J31" s="5" t="s">
        <v>33</v>
      </c>
      <c r="K31" s="1"/>
      <c r="L31" s="1"/>
    </row>
    <row r="32" spans="1:12" x14ac:dyDescent="0.3">
      <c r="A32" s="3">
        <v>46090</v>
      </c>
      <c r="B32" s="4" t="s">
        <v>51</v>
      </c>
      <c r="C32" s="2">
        <v>3</v>
      </c>
      <c r="D32" s="2">
        <v>3</v>
      </c>
      <c r="E32" s="2" t="s">
        <v>85</v>
      </c>
      <c r="F32" s="5" t="s">
        <v>61</v>
      </c>
      <c r="G32" s="5" t="s">
        <v>52</v>
      </c>
      <c r="H32" s="8">
        <v>40</v>
      </c>
      <c r="I32" s="5" t="s">
        <v>53</v>
      </c>
      <c r="J32" s="5" t="s">
        <v>42</v>
      </c>
      <c r="K32" s="1"/>
      <c r="L32" s="1"/>
    </row>
    <row r="33" spans="1:12" x14ac:dyDescent="0.3">
      <c r="A33" s="3">
        <v>46090</v>
      </c>
      <c r="B33" s="4" t="s">
        <v>54</v>
      </c>
      <c r="C33" s="2">
        <v>3</v>
      </c>
      <c r="D33" s="2">
        <v>3</v>
      </c>
      <c r="E33" s="2" t="s">
        <v>85</v>
      </c>
      <c r="F33" s="5" t="s">
        <v>61</v>
      </c>
      <c r="G33" s="5" t="s">
        <v>52</v>
      </c>
      <c r="H33" s="8">
        <v>58</v>
      </c>
      <c r="I33" s="5" t="s">
        <v>53</v>
      </c>
      <c r="J33" s="5" t="s">
        <v>42</v>
      </c>
      <c r="K33" s="1"/>
      <c r="L33" s="1"/>
    </row>
    <row r="34" spans="1:12" x14ac:dyDescent="0.3">
      <c r="A34" s="3">
        <v>46090</v>
      </c>
      <c r="B34" s="4" t="s">
        <v>49</v>
      </c>
      <c r="C34" s="2">
        <v>3</v>
      </c>
      <c r="D34" s="2">
        <v>3</v>
      </c>
      <c r="E34" s="2" t="s">
        <v>85</v>
      </c>
      <c r="F34" s="5" t="s">
        <v>61</v>
      </c>
      <c r="G34" s="5" t="s">
        <v>52</v>
      </c>
      <c r="H34" s="8">
        <v>42</v>
      </c>
      <c r="I34" s="5" t="s">
        <v>53</v>
      </c>
      <c r="J34" s="5" t="s">
        <v>42</v>
      </c>
      <c r="K34" s="1"/>
      <c r="L34" s="1"/>
    </row>
    <row r="35" spans="1:12" x14ac:dyDescent="0.3">
      <c r="A35" s="3">
        <v>46090</v>
      </c>
      <c r="B35" s="4" t="s">
        <v>56</v>
      </c>
      <c r="C35" s="2">
        <v>3</v>
      </c>
      <c r="D35" s="2">
        <v>5</v>
      </c>
      <c r="E35" s="2" t="s">
        <v>85</v>
      </c>
      <c r="F35" s="5" t="s">
        <v>61</v>
      </c>
      <c r="G35" s="5" t="s">
        <v>52</v>
      </c>
      <c r="H35" s="8">
        <v>40</v>
      </c>
      <c r="I35" s="5" t="s">
        <v>53</v>
      </c>
      <c r="J35" s="5" t="s">
        <v>27</v>
      </c>
      <c r="K35" s="1"/>
      <c r="L35" s="1"/>
    </row>
    <row r="36" spans="1:12" x14ac:dyDescent="0.3">
      <c r="A36" s="3">
        <v>46090</v>
      </c>
      <c r="B36" s="4" t="s">
        <v>55</v>
      </c>
      <c r="C36" s="2">
        <v>3</v>
      </c>
      <c r="D36" s="2">
        <v>5</v>
      </c>
      <c r="E36" s="2" t="s">
        <v>85</v>
      </c>
      <c r="F36" s="5" t="s">
        <v>61</v>
      </c>
      <c r="G36" s="5" t="s">
        <v>52</v>
      </c>
      <c r="H36" s="8">
        <v>40</v>
      </c>
      <c r="I36" s="5" t="s">
        <v>53</v>
      </c>
      <c r="J36" s="5" t="s">
        <v>27</v>
      </c>
      <c r="K36" s="1"/>
      <c r="L36" s="1"/>
    </row>
    <row r="37" spans="1:12" x14ac:dyDescent="0.3">
      <c r="A37" s="3">
        <v>46090</v>
      </c>
      <c r="B37" s="4" t="s">
        <v>48</v>
      </c>
      <c r="C37" s="2">
        <v>3</v>
      </c>
      <c r="D37" s="2">
        <v>8</v>
      </c>
      <c r="E37" s="2" t="s">
        <v>89</v>
      </c>
      <c r="F37" s="5" t="s">
        <v>30</v>
      </c>
      <c r="G37" s="5" t="s">
        <v>31</v>
      </c>
      <c r="H37" s="8">
        <v>60</v>
      </c>
      <c r="I37" s="5" t="s">
        <v>57</v>
      </c>
      <c r="J37" s="5" t="s">
        <v>33</v>
      </c>
      <c r="K37" s="1"/>
      <c r="L37" s="1"/>
    </row>
    <row r="38" spans="1:12" x14ac:dyDescent="0.3">
      <c r="A38" s="3">
        <v>46090</v>
      </c>
      <c r="B38" s="4" t="s">
        <v>38</v>
      </c>
      <c r="C38" s="2">
        <v>2</v>
      </c>
      <c r="D38" s="2">
        <v>3</v>
      </c>
      <c r="E38" s="2" t="s">
        <v>85</v>
      </c>
      <c r="F38" s="5" t="s">
        <v>61</v>
      </c>
      <c r="G38" s="5" t="s">
        <v>52</v>
      </c>
      <c r="H38" s="8">
        <v>23</v>
      </c>
      <c r="I38" s="5" t="s">
        <v>53</v>
      </c>
      <c r="J38" s="5" t="s">
        <v>42</v>
      </c>
      <c r="K38" s="1"/>
      <c r="L38" s="1"/>
    </row>
    <row r="39" spans="1:12" x14ac:dyDescent="0.3">
      <c r="A39" s="3">
        <v>46090</v>
      </c>
      <c r="B39" s="4" t="s">
        <v>65</v>
      </c>
      <c r="C39" s="2">
        <v>3</v>
      </c>
      <c r="D39" s="2">
        <v>5</v>
      </c>
      <c r="E39" s="2" t="s">
        <v>85</v>
      </c>
      <c r="F39" s="5" t="s">
        <v>61</v>
      </c>
      <c r="G39" s="5" t="s">
        <v>52</v>
      </c>
      <c r="H39" s="8">
        <v>50</v>
      </c>
      <c r="I39" s="5" t="s">
        <v>53</v>
      </c>
      <c r="J39" s="5" t="s">
        <v>27</v>
      </c>
      <c r="K39" s="1"/>
      <c r="L39" s="1"/>
    </row>
    <row r="40" spans="1:12" x14ac:dyDescent="0.3">
      <c r="A40" s="3">
        <v>46090</v>
      </c>
      <c r="B40" s="4" t="s">
        <v>66</v>
      </c>
      <c r="C40" s="2">
        <v>3</v>
      </c>
      <c r="D40" s="2">
        <v>5</v>
      </c>
      <c r="E40" s="2" t="s">
        <v>85</v>
      </c>
      <c r="F40" s="5" t="s">
        <v>61</v>
      </c>
      <c r="G40" s="5" t="s">
        <v>52</v>
      </c>
      <c r="H40" s="8">
        <v>40</v>
      </c>
      <c r="I40" s="5" t="s">
        <v>53</v>
      </c>
      <c r="J40" s="5" t="s">
        <v>27</v>
      </c>
      <c r="K40" s="1"/>
      <c r="L40" s="1"/>
    </row>
    <row r="41" spans="1:12" x14ac:dyDescent="0.3">
      <c r="A41" s="3">
        <v>46090</v>
      </c>
      <c r="B41" s="4" t="s">
        <v>67</v>
      </c>
      <c r="C41" s="2">
        <v>3</v>
      </c>
      <c r="D41" s="2">
        <v>5</v>
      </c>
      <c r="E41" s="2" t="s">
        <v>85</v>
      </c>
      <c r="F41" s="5" t="s">
        <v>61</v>
      </c>
      <c r="G41" s="5" t="s">
        <v>52</v>
      </c>
      <c r="H41" s="8">
        <v>60</v>
      </c>
      <c r="I41" s="5" t="s">
        <v>53</v>
      </c>
      <c r="J41" s="5" t="s">
        <v>27</v>
      </c>
      <c r="K41" s="1"/>
      <c r="L41" s="1"/>
    </row>
  </sheetData>
  <autoFilter ref="A2:J41" xr:uid="{40A44410-15BB-46A0-8397-3A0D098D7C72}"/>
  <mergeCells count="1">
    <mergeCell ref="A1:L1"/>
  </mergeCells>
  <pageMargins left="0.20833333333333334" right="0.20833333333333334" top="0.27777777777777779" bottom="0.27777777777777779" header="0.27777777777777779" footer="0.27777777777777779"/>
  <pageSetup paperSize="9" scale="3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Planilha2</vt:lpstr>
      <vt:lpstr>Planilha1</vt:lpstr>
      <vt:lpstr>Planilha1!Area_de_impressao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 Diana de Lima Araujo</dc:creator>
  <cp:lastModifiedBy>Janderson PK</cp:lastModifiedBy>
  <dcterms:created xsi:type="dcterms:W3CDTF">2026-03-10T12:07:29Z</dcterms:created>
  <dcterms:modified xsi:type="dcterms:W3CDTF">2026-03-11T02:42:51Z</dcterms:modified>
</cp:coreProperties>
</file>