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shboard-prod\"/>
    </mc:Choice>
  </mc:AlternateContent>
  <xr:revisionPtr revIDLastSave="0" documentId="13_ncr:1_{9A8DC52E-9283-4EB8-BFD1-D90B0B77A160}" xr6:coauthVersionLast="47" xr6:coauthVersionMax="47" xr10:uidLastSave="{00000000-0000-0000-0000-000000000000}"/>
  <bookViews>
    <workbookView xWindow="-108" yWindow="-108" windowWidth="23256" windowHeight="12456" xr2:uid="{8C39EA47-22E5-4345-8180-F1B7E0F78576}"/>
  </bookViews>
  <sheets>
    <sheet name="downtime" sheetId="1" r:id="rId1"/>
    <sheet name="base 1" sheetId="4" r:id="rId2"/>
  </sheets>
  <definedNames>
    <definedName name="_xlnm._FilterDatabase" localSheetId="0" hidden="1">downtime!$A$2:$P$127</definedName>
    <definedName name="_xlnm.Print_Area" localSheetId="0">downtime!$A$2:$T$26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3" i="1"/>
  <c r="I125" i="1" l="1"/>
  <c r="G125" i="1" s="1"/>
  <c r="I126" i="1"/>
  <c r="G126" i="1" s="1"/>
  <c r="I127" i="1"/>
  <c r="G127" i="1" s="1"/>
  <c r="E125" i="1" a="1"/>
  <c r="E125" i="1" s="1"/>
  <c r="E126" i="1" a="1"/>
  <c r="E126" i="1" s="1"/>
  <c r="E127" i="1" a="1"/>
  <c r="E127" i="1" s="1"/>
  <c r="I99" i="1"/>
  <c r="G99" i="1" s="1"/>
  <c r="I100" i="1"/>
  <c r="G100" i="1" s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G65" i="1" s="1"/>
  <c r="I66" i="1"/>
  <c r="G66" i="1" s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I29" i="1"/>
  <c r="G29" i="1" s="1"/>
  <c r="I30" i="1"/>
  <c r="G30" i="1" s="1"/>
  <c r="I31" i="1"/>
  <c r="G31" i="1" s="1"/>
  <c r="I32" i="1"/>
  <c r="G32" i="1" s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I3" i="1"/>
  <c r="G3" i="1" s="1"/>
  <c r="I4" i="1"/>
  <c r="G4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</calcChain>
</file>

<file path=xl/sharedStrings.xml><?xml version="1.0" encoding="utf-8"?>
<sst xmlns="http://schemas.openxmlformats.org/spreadsheetml/2006/main" count="766" uniqueCount="261">
  <si>
    <t>PRODUÇÃO</t>
  </si>
  <si>
    <t>VECTOR 3 PAR</t>
  </si>
  <si>
    <t xml:space="preserve"> 06:00 AS 07:00</t>
  </si>
  <si>
    <t>ENGENHARIA INDUSTRIAL</t>
  </si>
  <si>
    <t xml:space="preserve"> 07:00 AS 08:00</t>
  </si>
  <si>
    <t xml:space="preserve"> 13:00 AS 14:00</t>
  </si>
  <si>
    <t>MATERIAIS</t>
  </si>
  <si>
    <t xml:space="preserve"> 08:00 AS 09:00</t>
  </si>
  <si>
    <t xml:space="preserve"> 09:00 AS 10:00</t>
  </si>
  <si>
    <t>TI</t>
  </si>
  <si>
    <t>LUMEN3_MD</t>
  </si>
  <si>
    <t>NSX3 112I</t>
  </si>
  <si>
    <t>ENGª DE CONFIGURAÇÃO/APLICAÇÃO</t>
  </si>
  <si>
    <t>JOBI-M</t>
  </si>
  <si>
    <t xml:space="preserve"> 21:00 AS 22:00</t>
  </si>
  <si>
    <t>NSX3 P213I</t>
  </si>
  <si>
    <t xml:space="preserve"> 18:00 AS 19:00</t>
  </si>
  <si>
    <t xml:space="preserve"> 01:00 AS 02:00</t>
  </si>
  <si>
    <t xml:space="preserve"> 03:00 AS 04:00</t>
  </si>
  <si>
    <t xml:space="preserve"> 22:00 AS 23:00</t>
  </si>
  <si>
    <t xml:space="preserve"> 22:30 AS 23:00</t>
  </si>
  <si>
    <t xml:space="preserve">INJETAVEIS </t>
  </si>
  <si>
    <t>Problemas por áreas</t>
  </si>
  <si>
    <t>data</t>
  </si>
  <si>
    <t>hora</t>
  </si>
  <si>
    <t>turno</t>
  </si>
  <si>
    <t>linha</t>
  </si>
  <si>
    <t>departamento</t>
  </si>
  <si>
    <t>tipo</t>
  </si>
  <si>
    <t>minutos_parados</t>
  </si>
  <si>
    <t>descricao</t>
  </si>
  <si>
    <t>prazo</t>
  </si>
  <si>
    <t>status</t>
  </si>
  <si>
    <t>modelo_produto</t>
  </si>
  <si>
    <t>responsavel</t>
  </si>
  <si>
    <t xml:space="preserve">ROGERIO </t>
  </si>
  <si>
    <t xml:space="preserve">RODRIGO </t>
  </si>
  <si>
    <t>REBECA</t>
  </si>
  <si>
    <t>ANDRE</t>
  </si>
  <si>
    <t xml:space="preserve">LINHA </t>
  </si>
  <si>
    <t>MODELO</t>
  </si>
  <si>
    <t xml:space="preserve">META </t>
  </si>
  <si>
    <t>Lider</t>
  </si>
  <si>
    <t xml:space="preserve"> 05:00 AS 06:00</t>
  </si>
  <si>
    <t xml:space="preserve"> 10:00 AS 11:00</t>
  </si>
  <si>
    <t xml:space="preserve"> 14:00 AS 15:00</t>
  </si>
  <si>
    <t xml:space="preserve"> 02:00 AS 03:00</t>
  </si>
  <si>
    <t>MÁQUINA DE GRAVAÇÃO LASER</t>
  </si>
  <si>
    <t>FECHAMENTO DE LOTE</t>
  </si>
  <si>
    <t>BANCADA ASSOCIAÇÃO</t>
  </si>
  <si>
    <t>VECTOR 3 PA</t>
  </si>
  <si>
    <t xml:space="preserve">LIDER </t>
  </si>
  <si>
    <t xml:space="preserve">TURNO </t>
  </si>
  <si>
    <t xml:space="preserve">ANNE CAROLINE </t>
  </si>
  <si>
    <t>MIKE WILLIAN</t>
  </si>
  <si>
    <t xml:space="preserve">BRUNO LOPES </t>
  </si>
  <si>
    <t>GLEYCIANE LIMA</t>
  </si>
  <si>
    <t>CAMILA SILVA</t>
  </si>
  <si>
    <t>JESSILANE DA COSTA</t>
  </si>
  <si>
    <t>VICTOR RAFAEL</t>
  </si>
  <si>
    <t>ELIAS MENDONÇA</t>
  </si>
  <si>
    <t>LINHA</t>
  </si>
  <si>
    <t>ERLON NUNES</t>
  </si>
  <si>
    <t>JESSICA JORGE</t>
  </si>
  <si>
    <t>MARLON SOUSA</t>
  </si>
  <si>
    <t xml:space="preserve">LUCIANA DE OLIVEIRA </t>
  </si>
  <si>
    <t xml:space="preserve">JOYCE ANDRADE </t>
  </si>
  <si>
    <t xml:space="preserve">	KAYVE SANTOS</t>
  </si>
  <si>
    <t>DANIEL FEITOZA</t>
  </si>
  <si>
    <t>GABRIEL GUEDES</t>
  </si>
  <si>
    <t>GABRIEL CARNEIRO</t>
  </si>
  <si>
    <t>ANNALU DE AZEVEDO</t>
  </si>
  <si>
    <t>ASSEMBLY</t>
  </si>
  <si>
    <t>IMPRESSÃO 2D</t>
  </si>
  <si>
    <t>KAMILE DA SILVA</t>
  </si>
  <si>
    <t>ALISSON COSTA</t>
  </si>
  <si>
    <t>JEFFERSON PACHIAS</t>
  </si>
  <si>
    <t>SHIRLEY OLIVEIRA</t>
  </si>
  <si>
    <t>CAMILA PEREIRA</t>
  </si>
  <si>
    <t>ELIAS EMANOEL</t>
  </si>
  <si>
    <t>BRUNO GOMES</t>
  </si>
  <si>
    <t xml:space="preserve">	KAMILLA PEREIRA</t>
  </si>
  <si>
    <t xml:space="preserve">	GISELE PINHEIRO</t>
  </si>
  <si>
    <t>LORENA REGO</t>
  </si>
  <si>
    <t xml:space="preserve">ADRIELL TRINDADE </t>
  </si>
  <si>
    <t xml:space="preserve"> 20:00 AS 21:00</t>
  </si>
  <si>
    <t xml:space="preserve"> 17:00 AS 18:00</t>
  </si>
  <si>
    <t xml:space="preserve"> 15:00 AS 16:00</t>
  </si>
  <si>
    <t xml:space="preserve"> 16:00 AS 17:00</t>
  </si>
  <si>
    <t xml:space="preserve"> 19:00 AS 20:00</t>
  </si>
  <si>
    <t xml:space="preserve"> 23:00 AS 00:00</t>
  </si>
  <si>
    <t xml:space="preserve"> 04:00 AS 05:00</t>
  </si>
  <si>
    <t xml:space="preserve"> 00:00 AS 01:00</t>
  </si>
  <si>
    <t>NSX P213I</t>
  </si>
  <si>
    <t>NSX 324I</t>
  </si>
  <si>
    <t>NSX 112I</t>
  </si>
  <si>
    <t>PLANEJAMENTO</t>
  </si>
  <si>
    <t>ATRASO SEPARAÇÃO OP/PEDIDO</t>
  </si>
  <si>
    <t xml:space="preserve">FECHAMENTO </t>
  </si>
  <si>
    <t>MÁQUINA DE SOLIDARIZAÇÃO</t>
  </si>
  <si>
    <t xml:space="preserve">BANCADA VERIFICAÇÃO </t>
  </si>
  <si>
    <t xml:space="preserve">SEM PERIFERICOS </t>
  </si>
  <si>
    <t>PTH</t>
  </si>
  <si>
    <t>POSTO MONTAGEM PTH</t>
  </si>
  <si>
    <t>BANCADA VERIFICAÇÃO</t>
  </si>
  <si>
    <t>FALHA DE COMPUTADOR DE POSTO OPERACIONAL</t>
  </si>
  <si>
    <t>BANCADA DE TESTES FINAIS</t>
  </si>
  <si>
    <t xml:space="preserve">FALHA DE SOFTWARE </t>
  </si>
  <si>
    <t xml:space="preserve">ASSEMBLY </t>
  </si>
  <si>
    <t>FALTA DE PCI / FALHA PROGRAMAÇÃO EM PLACAS</t>
  </si>
  <si>
    <t xml:space="preserve">TESTE DO NIC </t>
  </si>
  <si>
    <t>BANCADA AJUSTE</t>
  </si>
  <si>
    <t>ATRASO NA SEPARAÇÃO DE OP, DEVIDO TROCA DE ITENS NA BOM (ASSEMBLY) SAINDO EXTERNO ENTRANDO INTERNO.</t>
  </si>
  <si>
    <t>FECHAMENTO DE LOTE 6226</t>
  </si>
  <si>
    <t>SOLIDARIZAÇÃO MARCANDO MEDIDOR.</t>
  </si>
  <si>
    <t>BANCADA DE VERIFICAÇÃO COM PROGRAMA SHANGDI INOPERANTE</t>
  </si>
  <si>
    <t>GRAVAÇÃO LASER COM TONALIDADE FORTE E LENTIDÃO, SENDO NECESÁRIO AJSUTE.</t>
  </si>
  <si>
    <t>SEM PERIFERICOS - PARAFUSADEIRA DO PARAFUSO PIERCE / PARAFUSADEIRA DA TAMPA DO BLOCO E SEM A GRAVAÇÃ</t>
  </si>
  <si>
    <t xml:space="preserve">PWBA ONLINE COM PTH IMPACTANDO DIRETAMENTE NO TESTE CLIMATICO </t>
  </si>
  <si>
    <t xml:space="preserve">COMPUTADOR TRAVANDO  DA GRAVAÇÃO A LASER </t>
  </si>
  <si>
    <t>FALHA NO FULLAUTO DA VERIFICAÇÃO APOS A FINALIZAÇÃO DOS TESTES</t>
  </si>
  <si>
    <t>COLISÃO NA GARRA DO ROBO DA METER COVER</t>
  </si>
  <si>
    <t>FECHAMENTO  LOTE PEQUENO (QTY 500)</t>
  </si>
  <si>
    <t>COMPUTADOR DESLIGANDO</t>
  </si>
  <si>
    <t>REPROVANDO EM TESTES FINAIS - P1  (OPERADOR EM CURVA DE APRENDIZADO)</t>
  </si>
  <si>
    <t xml:space="preserve">PROCESSO ONLINE COM PWBA PTH , IMPACTANDO DIRETAMENTE NO TESTE CLIMATICO </t>
  </si>
  <si>
    <t xml:space="preserve">STOP LINE - PORT 25ABR0030 REPROVADA! </t>
  </si>
  <si>
    <t>SOFTWARE DE ANTIVIRUS BLOQUEADO O FUNCIONAMENTO DO FULLUAUTO NA ESTAÇÃO DE TESTES FINASI</t>
  </si>
  <si>
    <t>FALTA DA PWBA 38077,  (ASSEMBLY)</t>
  </si>
  <si>
    <t xml:space="preserve">DEVIDO A FALTA DO ITEM 39077 -  FOI REALIZADO SETUP NÃO PLANEJADO DE 3 ELEMENTOS PARA 2 ELEMENTOS </t>
  </si>
  <si>
    <t>REPROVANDO TODOS OS MEDIDORES NA ESTAÇÃO DE VERIFICAÇÃO</t>
  </si>
  <si>
    <t>FINALIZAÇÃO DO LOTE:130 ENTRANDO EM, SETUP SAINDO DO G1 PARA O G3</t>
  </si>
  <si>
    <t>GENERAL NO COMPUTADOR DO POSTO DE REGISTRO DE LACRE</t>
  </si>
  <si>
    <t>NIC ONLINE</t>
  </si>
  <si>
    <t>NIC ONILINE</t>
  </si>
  <si>
    <t xml:space="preserve">ERRO DE SCRIPT </t>
  </si>
  <si>
    <t>AGUARDANDO LIBERAÇAO DA PORT 26ABR00030</t>
  </si>
  <si>
    <t>STOP LINE - PORT 26ABR00031 REPROVADA!</t>
  </si>
  <si>
    <t>AGUARDANDO LIBERAÇAO DA PORT 26ABR00031</t>
  </si>
  <si>
    <t>PWBA ONLINE 39078</t>
  </si>
  <si>
    <t>PROCESSO ONLINE COM TESTE DO NIC</t>
  </si>
  <si>
    <t xml:space="preserve">EXCEESO DE REPROVAÇÃO TESTES FINAIS </t>
  </si>
  <si>
    <t xml:space="preserve">PORTARIA REPROVADA </t>
  </si>
  <si>
    <t xml:space="preserve"> 12:00 AS 13:00</t>
  </si>
  <si>
    <t>VECTOR 4</t>
  </si>
  <si>
    <t xml:space="preserve">ABSENTEISMO </t>
  </si>
  <si>
    <t xml:space="preserve">FALTA DE MATERIAIS </t>
  </si>
  <si>
    <t>ERRO OPERACIONAL</t>
  </si>
  <si>
    <t>BANCADA PORTA ÓPTICA</t>
  </si>
  <si>
    <t>FALHA DE REDE - SEM COMUNICAÇÃO OU FALHANDOCOMPUTADOR TESTES FINAIS</t>
  </si>
  <si>
    <t xml:space="preserve">POSTO DE LACRE </t>
  </si>
  <si>
    <t xml:space="preserve">TROCA DE TURNO </t>
  </si>
  <si>
    <t>POSTO DO NIC</t>
  </si>
  <si>
    <t>TESTE CALL</t>
  </si>
  <si>
    <t>ATRASO NA REALIZAÇÃO DO SETUP</t>
  </si>
  <si>
    <t xml:space="preserve">TESTE PTH </t>
  </si>
  <si>
    <t xml:space="preserve">AJUSTE DE EFETIVO DEVIDO ABSENTEISMO </t>
  </si>
  <si>
    <t xml:space="preserve">AJUSTE CABO DA ASSOCIAÇÃO </t>
  </si>
  <si>
    <t xml:space="preserve">EXCESSO DE CARGA ALTA  NA BANCADA DE AJUSTE </t>
  </si>
  <si>
    <t>DEVIDO USO DE CAIXA ALTERNATIVA, HOUVE DIFICULDADE URANTE A TROCA DE LOTE NO FINAL DESTE HORÁRIO</t>
  </si>
  <si>
    <t xml:space="preserve"> BANCADA CAUSANDO CURTO DEVIDO MAL POSICIONAMENTO </t>
  </si>
  <si>
    <t>SOLIDARIZAÇÃO COM FALHA DE ACIONAMENTO.</t>
  </si>
  <si>
    <t>JIG DE PORTA OPTICA DESLIGANDO DE FORMA INTERMITENTE</t>
  </si>
  <si>
    <t>CORPO ESTRANHO NA BANCADA CAUSANDO CURTO NA BANCADA.</t>
  </si>
  <si>
    <t>BANCADA COM FALHA DE WISUN, ERRO COIM FREQUÊNCIA.</t>
  </si>
  <si>
    <t>OPERANDO COM UMA BANCADA</t>
  </si>
  <si>
    <t>SOLIDARIZAÇÃO CAUSANDO ABERTURA NA PARTE SUPERIOR</t>
  </si>
  <si>
    <t>SISTEMA DOS COMPUTADORES TRAVANDO</t>
  </si>
  <si>
    <t>AGUARDANDO PORTARIA SER LIBERADA MANUALMENTE DEVIDO REPROVAÇÃO DE UM MEDIDOR EM RL1</t>
  </si>
  <si>
    <t>PROCESSO ONLINE COM ASSEMBLY</t>
  </si>
  <si>
    <t>TROCA DE CLIENTES/REFERENCIAS DIFERENTES</t>
  </si>
  <si>
    <t>ESTEIRA VAZIA COM ISSO IMPACTOU NA META HORA</t>
  </si>
  <si>
    <t>TROCA DE CLIENTE SAINDO "CEA" E ENTRANDO "CELPA/80 REFERENÇIAS DIFERENTES.</t>
  </si>
  <si>
    <t>POSTO DO NIC ( PROCESSO COLADO )</t>
  </si>
  <si>
    <t xml:space="preserve"> INTERFERENCIA NA COMUNICAÇÃO COM RADIO</t>
  </si>
  <si>
    <t>RADIO NÃO COMUNICA</t>
  </si>
  <si>
    <t>INTERFERENCIA NA COMUNICAÇÃO COM RADIO</t>
  </si>
  <si>
    <t>AGUARDANDO LIBERAÇÃO DA PORT 25ABR0039</t>
  </si>
  <si>
    <t>METER COVER ROBO COLIDIU</t>
  </si>
  <si>
    <t>METER COVER TRAVOU, TECNICO TEVE QUE ATUAR</t>
  </si>
  <si>
    <t>COMPUTADOR DA BANCADA DE AJUSTE E POSTO DE REGISTRO DE LACRE ESTAVA ATUALIZANDO.</t>
  </si>
  <si>
    <t xml:space="preserve">NIC ON LINE COM O PROCESSO DEVIDO O GUIA DE LUZ ESTA PREFORMANDO PARA 3 LINHAS </t>
  </si>
  <si>
    <t>ROBÔ COLIDIU COM A BANDEIJA</t>
  </si>
  <si>
    <t xml:space="preserve">REALIZAÇÃO DO SETUP NAS MÁQUINAS DE AJUSTE, VERIFICAÇÃO E MÁQUINA LASER </t>
  </si>
  <si>
    <t xml:space="preserve">PWBA APRESENTANDO CARGA ALTA , NECESSARIO REFAZER TESTE </t>
  </si>
  <si>
    <t xml:space="preserve"> 11:00 AS 12:00</t>
  </si>
  <si>
    <t>NSX 334I</t>
  </si>
  <si>
    <t>POSTO PARAFUSAMENTO</t>
  </si>
  <si>
    <t xml:space="preserve">AJUSTE DE EFETIVO </t>
  </si>
  <si>
    <t xml:space="preserve">FALHA DE REDE - SEM COMUNICAÇÃO </t>
  </si>
  <si>
    <t xml:space="preserve">POSTO DO NIC </t>
  </si>
  <si>
    <t>FALTA / DIVERGÊNCIA DE NÚMERAÇÃO DE SÉRIE</t>
  </si>
  <si>
    <t>QUALIDADE</t>
  </si>
  <si>
    <t>FALHA DE VALIDAÇÃO</t>
  </si>
  <si>
    <t>COMPUTADOR DA PORTA OPTICA SENDO FORÇADO A REINICALIZAÇÃO</t>
  </si>
  <si>
    <t>ATRASO NA PORTARIA DEVIDO CAL NÃO ATENDE TESTE CLIMATICO PRODUÇÃO HORA DE 120</t>
  </si>
  <si>
    <t>FECHAMENTON DE LOTE PEDIDO 86420/010 L189</t>
  </si>
  <si>
    <t>EIXO X DA GARRA CARTESIANA APRESENTANDO FALHA</t>
  </si>
  <si>
    <t>CONTROLADORA DO EIXO X DA METER COVER APRESENTANDO FALHA</t>
  </si>
  <si>
    <t>PROBLEMA NA CPU E FOI FEITO A RESTAURAÇÃO DOS PROGRAMAS</t>
  </si>
  <si>
    <t>PLACA DA CPU DESCONECTADA</t>
  </si>
  <si>
    <t>ALTO INDICE DE PIERCE ALTO</t>
  </si>
  <si>
    <t>ORGANIZAÇÃO DE PROCESSO E START DE LINHA</t>
  </si>
  <si>
    <t>BANCADA DE VERIFICAÇÃO DANDO CARGA ALTA / MEDIDORES JÁ ESTAVAM AJUSTADOS</t>
  </si>
  <si>
    <t>ENCHENDO PROCESSO / PORT LIBERADA ÁS 14:30.</t>
  </si>
  <si>
    <t>O PEDIDO/LOTE FOI INICIADO COM PARAFUSO DIFERETE DO ESPECIFICADO.</t>
  </si>
  <si>
    <t>USUARIO RFL  NÃO CONFIGURADO PARA ESTAÇÕES ( DATA E HORA DIVERGENTE)</t>
  </si>
  <si>
    <t>TROCA DE LOTE, MEDIDORES DO LOTE ANTERIOR NA ESTAÇÃO DE ASSOCIAÇÃO OCASIONOU UMA ERRO NA ASSOCIAÇÃO</t>
  </si>
  <si>
    <t>O LOTE NÃO ESTAVA INTEGRADO NO ANDROMEDA</t>
  </si>
  <si>
    <t>DATA ESTAVA DIVERGENTE NO ANDROMEDA</t>
  </si>
  <si>
    <t xml:space="preserve">SETUP NA GRAVAÇÃO A LASER </t>
  </si>
  <si>
    <t>FECHAMENTO DO LOTE 6255 - CEMIG</t>
  </si>
  <si>
    <t xml:space="preserve">NIC ONLINE </t>
  </si>
  <si>
    <t>FECHAMENTO DE LOTES PEQUENOS E PEDIDO DIFERENTES</t>
  </si>
  <si>
    <t>LENTIDAO NO SISTEMA</t>
  </si>
  <si>
    <t>MAQUINA DE LASER SEM CABO DE REDE, TI RELATOU QUE HAVIA SOMENTE 1 PONTO DE REDE E A L9 ESTAVA USANDO</t>
  </si>
  <si>
    <t>VECTOR 3S 3EL</t>
  </si>
  <si>
    <t>NSX 314</t>
  </si>
  <si>
    <t>NSX3 314</t>
  </si>
  <si>
    <t>NSX 324</t>
  </si>
  <si>
    <t>LUMEN 3 MD3F</t>
  </si>
  <si>
    <t>LUMEN 3 MDT</t>
  </si>
  <si>
    <t>LUMEN 4 MD</t>
  </si>
  <si>
    <t>NSX3 113</t>
  </si>
  <si>
    <t>NSX 334i</t>
  </si>
  <si>
    <t>NIC</t>
  </si>
  <si>
    <t>BANDEJA</t>
  </si>
  <si>
    <t>BARRAMENTO</t>
  </si>
  <si>
    <t>COLETORA</t>
  </si>
  <si>
    <t>CONCENTRADOR PRIMARIO</t>
  </si>
  <si>
    <t>CPU CP</t>
  </si>
  <si>
    <t>CPU CS</t>
  </si>
  <si>
    <t>CX GARNET</t>
  </si>
  <si>
    <t>MOD. BF</t>
  </si>
  <si>
    <t>MOD. MF</t>
  </si>
  <si>
    <t>MOD. TF</t>
  </si>
  <si>
    <t>RADIO</t>
  </si>
  <si>
    <t>modelo</t>
  </si>
  <si>
    <t>vlr un</t>
  </si>
  <si>
    <t>valr total</t>
  </si>
  <si>
    <t xml:space="preserve">CUPIUBA </t>
  </si>
  <si>
    <t>LEANDRO</t>
  </si>
  <si>
    <t xml:space="preserve">JANDERSON </t>
  </si>
  <si>
    <t xml:space="preserve">JOBIM </t>
  </si>
  <si>
    <t xml:space="preserve">DOUGLAS </t>
  </si>
  <si>
    <t xml:space="preserve">DIOGO </t>
  </si>
  <si>
    <t xml:space="preserve">CLEISYON </t>
  </si>
  <si>
    <t xml:space="preserve">ENGENHARIA DE PROCESSO </t>
  </si>
  <si>
    <t>ENGENHARIA DE PROCESSO (AUT)</t>
  </si>
  <si>
    <t xml:space="preserve">ZACHARY </t>
  </si>
  <si>
    <t xml:space="preserve">ENGENHARIA DE PRODUTO </t>
  </si>
  <si>
    <t xml:space="preserve">DIORIO </t>
  </si>
  <si>
    <t>PRODUÇÃO (AUT)</t>
  </si>
  <si>
    <t>RESPONSAVEL</t>
  </si>
  <si>
    <t>AREA</t>
  </si>
  <si>
    <t xml:space="preserve">DISPLAY </t>
  </si>
  <si>
    <t>NSX 113I</t>
  </si>
  <si>
    <t>NSX2 112I</t>
  </si>
  <si>
    <t>NSX2 213I</t>
  </si>
  <si>
    <t>valor_unitario</t>
  </si>
  <si>
    <t>perdas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</si>
</sst>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4" fontId="0" fillId="0" borderId="4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4" fontId="1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4" fontId="1" fillId="2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4410-15BB-46A0-8397-3A0D098D7C72}">
  <dimension ref="A1:P127"/>
  <sheetViews>
    <sheetView showGridLines="0" tabSelected="1" zoomScale="85" zoomScaleNormal="85" workbookViewId="0">
      <selection activeCell="I3" sqref="I3"/>
    </sheetView>
  </sheetViews>
  <sheetFormatPr defaultRowHeight="14.4" x14ac:dyDescent="0.3"/>
  <cols>
    <col min="1" max="1" width="12.6640625" customWidth="1"/>
    <col min="2" max="2" width="14.88671875" customWidth="1"/>
    <col min="3" max="3" width="13" style="18" customWidth="1"/>
    <col min="4" max="4" width="12.6640625" style="18" customWidth="1"/>
    <col min="5" max="5" width="22.6640625" style="3" customWidth="1"/>
    <col min="6" max="7" width="22.6640625" style="32" customWidth="1"/>
    <col min="8" max="8" width="22.6640625" style="3" customWidth="1"/>
    <col min="9" max="9" width="26.109375" style="11" customWidth="1"/>
    <col min="10" max="10" width="20" style="11" bestFit="1" customWidth="1"/>
    <col min="11" max="11" width="22.6640625" style="3" customWidth="1"/>
    <col min="12" max="12" width="35" bestFit="1" customWidth="1"/>
    <col min="13" max="13" width="46.33203125" bestFit="1" customWidth="1"/>
    <col min="14" max="14" width="102.5546875" bestFit="1" customWidth="1"/>
    <col min="15" max="15" width="45.33203125" customWidth="1"/>
    <col min="16" max="16" width="18.109375" customWidth="1"/>
  </cols>
  <sheetData>
    <row r="1" spans="1:16" ht="31.2" x14ac:dyDescent="0.6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x14ac:dyDescent="0.3">
      <c r="A2" s="6" t="s">
        <v>23</v>
      </c>
      <c r="B2" s="6" t="s">
        <v>24</v>
      </c>
      <c r="C2" s="17" t="s">
        <v>25</v>
      </c>
      <c r="D2" s="17" t="s">
        <v>26</v>
      </c>
      <c r="E2" s="6" t="s">
        <v>42</v>
      </c>
      <c r="F2" s="34" t="s">
        <v>259</v>
      </c>
      <c r="G2" s="30" t="s">
        <v>239</v>
      </c>
      <c r="H2" s="6" t="s">
        <v>33</v>
      </c>
      <c r="I2" s="33" t="s">
        <v>260</v>
      </c>
      <c r="J2" s="7" t="s">
        <v>29</v>
      </c>
      <c r="K2" s="6" t="s">
        <v>34</v>
      </c>
      <c r="L2" s="6" t="s">
        <v>27</v>
      </c>
      <c r="M2" s="6" t="s">
        <v>28</v>
      </c>
      <c r="N2" s="6" t="s">
        <v>30</v>
      </c>
      <c r="O2" s="8" t="s">
        <v>32</v>
      </c>
      <c r="P2" s="8" t="s">
        <v>31</v>
      </c>
    </row>
    <row r="3" spans="1:16" x14ac:dyDescent="0.3">
      <c r="A3" s="19">
        <v>46126</v>
      </c>
      <c r="B3" s="2" t="s">
        <v>8</v>
      </c>
      <c r="C3" s="4">
        <v>1</v>
      </c>
      <c r="D3" s="4">
        <v>2</v>
      </c>
      <c r="E3" s="5" t="str">
        <f t="array" ref="E3">IFERROR(INDEX('base 1'!$F$2:$F$31,MATCH(1, ('base 1'!$G$2:$G$31=D3)*('base 1'!$H$2:$H$31=C3),0)),"")</f>
        <v>MIKE WILLIAN</v>
      </c>
      <c r="F3" s="31">
        <f>VLOOKUP(H3,'base 1'!K:L,2,0)</f>
        <v>274</v>
      </c>
      <c r="G3" s="31">
        <f>F3*I3</f>
        <v>32058</v>
      </c>
      <c r="H3" s="13" t="s">
        <v>93</v>
      </c>
      <c r="I3" s="10">
        <f>SUMIFS('base 1'!C:C,'base 1'!A:A,downtime!D3,'base 1'!B:B,H3)/60*J3</f>
        <v>117</v>
      </c>
      <c r="J3" s="2">
        <v>60</v>
      </c>
      <c r="K3" s="5" t="str">
        <f>VLOOKUP(L3,'base 1'!P:Q,2,0)</f>
        <v>LEANDRO</v>
      </c>
      <c r="L3" s="20" t="s">
        <v>6</v>
      </c>
      <c r="M3" s="20" t="s">
        <v>97</v>
      </c>
      <c r="N3" s="20" t="s">
        <v>112</v>
      </c>
      <c r="O3" s="1"/>
      <c r="P3" s="1"/>
    </row>
    <row r="4" spans="1:16" x14ac:dyDescent="0.3">
      <c r="A4" s="19">
        <v>46126</v>
      </c>
      <c r="B4" s="2" t="s">
        <v>7</v>
      </c>
      <c r="C4" s="4">
        <v>1</v>
      </c>
      <c r="D4" s="4">
        <v>2</v>
      </c>
      <c r="E4" s="5" t="str">
        <f t="array" ref="E4">IFERROR(INDEX('base 1'!$F$2:$F$31,MATCH(1, ('base 1'!$G$2:$G$31=D4)*('base 1'!$H$2:$H$31=C4),0)),"")</f>
        <v>MIKE WILLIAN</v>
      </c>
      <c r="F4" s="31">
        <f>VLOOKUP(H4,'base 1'!K:L,2,0)</f>
        <v>274</v>
      </c>
      <c r="G4" s="31">
        <f t="shared" ref="G4:G67" si="0">F4*I4</f>
        <v>24043.5</v>
      </c>
      <c r="H4" s="13" t="s">
        <v>93</v>
      </c>
      <c r="I4" s="10">
        <f>SUMIFS('base 1'!C:C,'base 1'!A:A,downtime!D4,'base 1'!B:B,H4)/60*J4</f>
        <v>87.75</v>
      </c>
      <c r="J4" s="2">
        <v>45</v>
      </c>
      <c r="K4" s="5" t="str">
        <f>VLOOKUP(L4,'base 1'!P:Q,2,0)</f>
        <v>LEANDRO</v>
      </c>
      <c r="L4" s="20" t="s">
        <v>6</v>
      </c>
      <c r="M4" s="20" t="s">
        <v>97</v>
      </c>
      <c r="N4" s="20" t="s">
        <v>112</v>
      </c>
      <c r="O4" s="1"/>
      <c r="P4" s="1"/>
    </row>
    <row r="5" spans="1:16" x14ac:dyDescent="0.3">
      <c r="A5" s="19">
        <v>46126</v>
      </c>
      <c r="B5" s="2" t="s">
        <v>4</v>
      </c>
      <c r="C5" s="4">
        <v>1</v>
      </c>
      <c r="D5" s="4">
        <v>2</v>
      </c>
      <c r="E5" s="5" t="str">
        <f t="array" ref="E5">IFERROR(INDEX('base 1'!$F$2:$F$31,MATCH(1, ('base 1'!$G$2:$G$31=D5)*('base 1'!$H$2:$H$31=C5),0)),"")</f>
        <v>MIKE WILLIAN</v>
      </c>
      <c r="F5" s="31">
        <f>VLOOKUP(H5,'base 1'!K:L,2,0)</f>
        <v>218</v>
      </c>
      <c r="G5" s="31">
        <f t="shared" si="0"/>
        <v>24852</v>
      </c>
      <c r="H5" s="13" t="s">
        <v>94</v>
      </c>
      <c r="I5" s="10">
        <f>SUMIFS('base 1'!C:C,'base 1'!A:A,downtime!D5,'base 1'!B:B,H5)/60*J5</f>
        <v>114</v>
      </c>
      <c r="J5" s="2">
        <v>60</v>
      </c>
      <c r="K5" s="5" t="str">
        <f>VLOOKUP(L5,'base 1'!P:Q,2,0)</f>
        <v xml:space="preserve">JANDERSON </v>
      </c>
      <c r="L5" s="20" t="s">
        <v>0</v>
      </c>
      <c r="M5" s="20" t="s">
        <v>98</v>
      </c>
      <c r="N5" s="20" t="s">
        <v>113</v>
      </c>
      <c r="O5" s="1"/>
      <c r="P5" s="1"/>
    </row>
    <row r="6" spans="1:16" x14ac:dyDescent="0.3">
      <c r="A6" s="19">
        <v>46126</v>
      </c>
      <c r="B6" s="2" t="s">
        <v>2</v>
      </c>
      <c r="C6" s="4">
        <v>1</v>
      </c>
      <c r="D6" s="4">
        <v>2</v>
      </c>
      <c r="E6" s="5" t="str">
        <f t="array" ref="E6">IFERROR(INDEX('base 1'!$F$2:$F$31,MATCH(1, ('base 1'!$G$2:$G$31=D6)*('base 1'!$H$2:$H$31=C6),0)),"")</f>
        <v>MIKE WILLIAN</v>
      </c>
      <c r="F6" s="31">
        <f>VLOOKUP(H6,'base 1'!K:L,2,0)</f>
        <v>218</v>
      </c>
      <c r="G6" s="31">
        <f t="shared" si="0"/>
        <v>24852</v>
      </c>
      <c r="H6" s="13" t="s">
        <v>94</v>
      </c>
      <c r="I6" s="10">
        <f>SUMIFS('base 1'!C:C,'base 1'!A:A,downtime!D6,'base 1'!B:B,H6)/60*J6</f>
        <v>114</v>
      </c>
      <c r="J6" s="2">
        <v>60</v>
      </c>
      <c r="K6" s="5" t="str">
        <f>VLOOKUP(L6,'base 1'!P:Q,2,0)</f>
        <v xml:space="preserve">JANDERSON </v>
      </c>
      <c r="L6" s="20" t="s">
        <v>0</v>
      </c>
      <c r="M6" s="20" t="s">
        <v>98</v>
      </c>
      <c r="N6" s="20" t="s">
        <v>113</v>
      </c>
      <c r="O6" s="1"/>
      <c r="P6" s="1"/>
    </row>
    <row r="7" spans="1:16" x14ac:dyDescent="0.3">
      <c r="A7" s="19">
        <v>46126</v>
      </c>
      <c r="B7" s="2" t="s">
        <v>8</v>
      </c>
      <c r="C7" s="4">
        <v>1</v>
      </c>
      <c r="D7" s="4">
        <v>4</v>
      </c>
      <c r="E7" s="5" t="str">
        <f t="array" ref="E7">IFERROR(INDEX('base 1'!$F$2:$F$31,MATCH(1, ('base 1'!$G$2:$G$31=D7)*('base 1'!$H$2:$H$31=C7),0)),"")</f>
        <v xml:space="preserve">BRUNO LOPES </v>
      </c>
      <c r="F7" s="31">
        <f>VLOOKUP(H7,'base 1'!K:L,2,0)</f>
        <v>44.57</v>
      </c>
      <c r="G7" s="31">
        <f t="shared" si="0"/>
        <v>1913.5386666666668</v>
      </c>
      <c r="H7" s="13" t="s">
        <v>10</v>
      </c>
      <c r="I7" s="10">
        <f>SUMIFS('base 1'!C:C,'base 1'!A:A,downtime!D7,'base 1'!B:B,H7)/60*J7</f>
        <v>42.933333333333337</v>
      </c>
      <c r="J7" s="2">
        <v>7</v>
      </c>
      <c r="K7" s="5" t="str">
        <f>VLOOKUP(L7,'base 1'!P:Q,2,0)</f>
        <v xml:space="preserve">ROGERIO </v>
      </c>
      <c r="L7" s="20" t="s">
        <v>3</v>
      </c>
      <c r="M7" s="20" t="s">
        <v>99</v>
      </c>
      <c r="N7" s="20" t="s">
        <v>114</v>
      </c>
      <c r="O7" s="1"/>
      <c r="P7" s="1"/>
    </row>
    <row r="8" spans="1:16" x14ac:dyDescent="0.3">
      <c r="A8" s="19">
        <v>46126</v>
      </c>
      <c r="B8" s="2" t="s">
        <v>5</v>
      </c>
      <c r="C8" s="4">
        <v>1</v>
      </c>
      <c r="D8" s="4">
        <v>4</v>
      </c>
      <c r="E8" s="5" t="str">
        <f t="array" ref="E8">IFERROR(INDEX('base 1'!$F$2:$F$31,MATCH(1, ('base 1'!$G$2:$G$31=D8)*('base 1'!$H$2:$H$31=C8),0)),"")</f>
        <v xml:space="preserve">BRUNO LOPES </v>
      </c>
      <c r="F8" s="31">
        <f>VLOOKUP(H8,'base 1'!K:L,2,0)</f>
        <v>44.57</v>
      </c>
      <c r="G8" s="31">
        <f t="shared" si="0"/>
        <v>2733.626666666667</v>
      </c>
      <c r="H8" s="13" t="s">
        <v>10</v>
      </c>
      <c r="I8" s="10">
        <f>SUMIFS('base 1'!C:C,'base 1'!A:A,downtime!D8,'base 1'!B:B,H8)/60*J8</f>
        <v>61.333333333333336</v>
      </c>
      <c r="J8" s="2">
        <v>10</v>
      </c>
      <c r="K8" s="5" t="str">
        <f>VLOOKUP(L8,'base 1'!P:Q,2,0)</f>
        <v xml:space="preserve">ROGERIO </v>
      </c>
      <c r="L8" s="20" t="s">
        <v>3</v>
      </c>
      <c r="M8" s="20" t="s">
        <v>100</v>
      </c>
      <c r="N8" s="20" t="s">
        <v>115</v>
      </c>
      <c r="O8" s="1"/>
      <c r="P8" s="1"/>
    </row>
    <row r="9" spans="1:16" x14ac:dyDescent="0.3">
      <c r="A9" s="19">
        <v>46126</v>
      </c>
      <c r="B9" s="2" t="s">
        <v>2</v>
      </c>
      <c r="C9" s="4">
        <v>1</v>
      </c>
      <c r="D9" s="4">
        <v>4</v>
      </c>
      <c r="E9" s="5" t="str">
        <f t="array" ref="E9">IFERROR(INDEX('base 1'!$F$2:$F$31,MATCH(1, ('base 1'!$G$2:$G$31=D9)*('base 1'!$H$2:$H$31=C9),0)),"")</f>
        <v xml:space="preserve">BRUNO LOPES </v>
      </c>
      <c r="F9" s="31">
        <f>VLOOKUP(H9,'base 1'!K:L,2,0)</f>
        <v>44.57</v>
      </c>
      <c r="G9" s="31">
        <f t="shared" si="0"/>
        <v>11754.594666666668</v>
      </c>
      <c r="H9" s="13" t="s">
        <v>10</v>
      </c>
      <c r="I9" s="10">
        <f>SUMIFS('base 1'!C:C,'base 1'!A:A,downtime!D9,'base 1'!B:B,H9)/60*J9</f>
        <v>263.73333333333335</v>
      </c>
      <c r="J9" s="2">
        <v>43</v>
      </c>
      <c r="K9" s="5" t="str">
        <f>VLOOKUP(L9,'base 1'!P:Q,2,0)</f>
        <v xml:space="preserve">ROGERIO </v>
      </c>
      <c r="L9" s="20" t="s">
        <v>3</v>
      </c>
      <c r="M9" s="20" t="s">
        <v>47</v>
      </c>
      <c r="N9" s="20" t="s">
        <v>116</v>
      </c>
      <c r="O9" s="1"/>
      <c r="P9" s="1"/>
    </row>
    <row r="10" spans="1:16" x14ac:dyDescent="0.3">
      <c r="A10" s="19">
        <v>46126</v>
      </c>
      <c r="B10" s="2" t="s">
        <v>2</v>
      </c>
      <c r="C10" s="4">
        <v>1</v>
      </c>
      <c r="D10" s="4">
        <v>5</v>
      </c>
      <c r="E10" s="5" t="str">
        <f t="array" ref="E10">IFERROR(INDEX('base 1'!$F$2:$F$31,MATCH(1, ('base 1'!$G$2:$G$31=D10)*('base 1'!$H$2:$H$31=C10),0)),"")</f>
        <v>GLEYCIANE LIMA</v>
      </c>
      <c r="F10" s="31">
        <f>VLOOKUP(H10,'base 1'!K:L,2,0)</f>
        <v>205</v>
      </c>
      <c r="G10" s="31">
        <f t="shared" si="0"/>
        <v>28700</v>
      </c>
      <c r="H10" s="13" t="s">
        <v>95</v>
      </c>
      <c r="I10" s="10">
        <f>SUMIFS('base 1'!C:C,'base 1'!A:A,downtime!D10,'base 1'!B:B,H10)/60*J10</f>
        <v>140</v>
      </c>
      <c r="J10" s="2">
        <v>60</v>
      </c>
      <c r="K10" s="5" t="str">
        <f>VLOOKUP(L10,'base 1'!P:Q,2,0)</f>
        <v xml:space="preserve">JANDERSON </v>
      </c>
      <c r="L10" s="20" t="s">
        <v>0</v>
      </c>
      <c r="M10" s="20" t="s">
        <v>101</v>
      </c>
      <c r="N10" s="20" t="s">
        <v>117</v>
      </c>
      <c r="O10" s="1"/>
      <c r="P10" s="1"/>
    </row>
    <row r="11" spans="1:16" x14ac:dyDescent="0.3">
      <c r="A11" s="19">
        <v>46126</v>
      </c>
      <c r="B11" s="2" t="s">
        <v>4</v>
      </c>
      <c r="C11" s="4">
        <v>1</v>
      </c>
      <c r="D11" s="4">
        <v>5</v>
      </c>
      <c r="E11" s="5" t="str">
        <f t="array" ref="E11">IFERROR(INDEX('base 1'!$F$2:$F$31,MATCH(1, ('base 1'!$G$2:$G$31=D11)*('base 1'!$H$2:$H$31=C11),0)),"")</f>
        <v>GLEYCIANE LIMA</v>
      </c>
      <c r="F11" s="31">
        <f>VLOOKUP(H11,'base 1'!K:L,2,0)</f>
        <v>205</v>
      </c>
      <c r="G11" s="31">
        <f t="shared" si="0"/>
        <v>28700</v>
      </c>
      <c r="H11" s="13" t="s">
        <v>95</v>
      </c>
      <c r="I11" s="10">
        <f>SUMIFS('base 1'!C:C,'base 1'!A:A,downtime!D11,'base 1'!B:B,H11)/60*J11</f>
        <v>140</v>
      </c>
      <c r="J11" s="2">
        <v>60</v>
      </c>
      <c r="K11" s="5" t="str">
        <f>VLOOKUP(L11,'base 1'!P:Q,2,0)</f>
        <v xml:space="preserve">JANDERSON </v>
      </c>
      <c r="L11" s="20" t="s">
        <v>0</v>
      </c>
      <c r="M11" s="20" t="s">
        <v>101</v>
      </c>
      <c r="N11" s="20" t="s">
        <v>117</v>
      </c>
      <c r="O11" s="1"/>
      <c r="P11" s="1"/>
    </row>
    <row r="12" spans="1:16" x14ac:dyDescent="0.3">
      <c r="A12" s="19">
        <v>46126</v>
      </c>
      <c r="B12" s="2" t="s">
        <v>2</v>
      </c>
      <c r="C12" s="4">
        <v>1</v>
      </c>
      <c r="D12" s="4">
        <v>8</v>
      </c>
      <c r="E12" s="5" t="str">
        <f t="array" ref="E12">IFERROR(INDEX('base 1'!$F$2:$F$31,MATCH(1, ('base 1'!$G$2:$G$31=D12)*('base 1'!$H$2:$H$31=C12),0)),"")</f>
        <v>JESSILANE DA COSTA</v>
      </c>
      <c r="F12" s="31">
        <f>VLOOKUP(H12,'base 1'!K:L,2,0)</f>
        <v>280</v>
      </c>
      <c r="G12" s="31">
        <f t="shared" si="0"/>
        <v>44800</v>
      </c>
      <c r="H12" s="13" t="s">
        <v>13</v>
      </c>
      <c r="I12" s="10">
        <f>SUMIFS('base 1'!C:C,'base 1'!A:A,downtime!D12,'base 1'!B:B,H12)/60*J12</f>
        <v>160</v>
      </c>
      <c r="J12" s="2">
        <v>60</v>
      </c>
      <c r="K12" s="5" t="str">
        <f>VLOOKUP(L12,'base 1'!P:Q,2,0)</f>
        <v xml:space="preserve">JANDERSON </v>
      </c>
      <c r="L12" s="20" t="s">
        <v>102</v>
      </c>
      <c r="M12" s="20" t="s">
        <v>103</v>
      </c>
      <c r="N12" s="20" t="s">
        <v>118</v>
      </c>
      <c r="O12" s="1"/>
      <c r="P12" s="1"/>
    </row>
    <row r="13" spans="1:16" x14ac:dyDescent="0.3">
      <c r="A13" s="19">
        <v>46126</v>
      </c>
      <c r="B13" s="2" t="s">
        <v>4</v>
      </c>
      <c r="C13" s="4">
        <v>1</v>
      </c>
      <c r="D13" s="4">
        <v>8</v>
      </c>
      <c r="E13" s="5" t="str">
        <f t="array" ref="E13">IFERROR(INDEX('base 1'!$F$2:$F$31,MATCH(1, ('base 1'!$G$2:$G$31=D13)*('base 1'!$H$2:$H$31=C13),0)),"")</f>
        <v>JESSILANE DA COSTA</v>
      </c>
      <c r="F13" s="31">
        <f>VLOOKUP(H13,'base 1'!K:L,2,0)</f>
        <v>280</v>
      </c>
      <c r="G13" s="31">
        <f t="shared" si="0"/>
        <v>44800</v>
      </c>
      <c r="H13" s="13" t="s">
        <v>13</v>
      </c>
      <c r="I13" s="10">
        <f>SUMIFS('base 1'!C:C,'base 1'!A:A,downtime!D13,'base 1'!B:B,H13)/60*J13</f>
        <v>160</v>
      </c>
      <c r="J13" s="2">
        <v>60</v>
      </c>
      <c r="K13" s="5" t="str">
        <f>VLOOKUP(L13,'base 1'!P:Q,2,0)</f>
        <v xml:space="preserve">JANDERSON </v>
      </c>
      <c r="L13" s="20" t="s">
        <v>102</v>
      </c>
      <c r="M13" s="20" t="s">
        <v>103</v>
      </c>
      <c r="N13" s="20" t="s">
        <v>118</v>
      </c>
      <c r="O13" s="1"/>
      <c r="P13" s="1"/>
    </row>
    <row r="14" spans="1:16" x14ac:dyDescent="0.3">
      <c r="A14" s="19">
        <v>46126</v>
      </c>
      <c r="B14" s="2" t="s">
        <v>7</v>
      </c>
      <c r="C14" s="4">
        <v>1</v>
      </c>
      <c r="D14" s="4">
        <v>8</v>
      </c>
      <c r="E14" s="5" t="str">
        <f t="array" ref="E14">IFERROR(INDEX('base 1'!$F$2:$F$31,MATCH(1, ('base 1'!$G$2:$G$31=D14)*('base 1'!$H$2:$H$31=C14),0)),"")</f>
        <v>JESSILANE DA COSTA</v>
      </c>
      <c r="F14" s="31">
        <f>VLOOKUP(H14,'base 1'!K:L,2,0)</f>
        <v>280</v>
      </c>
      <c r="G14" s="31">
        <f t="shared" si="0"/>
        <v>33600</v>
      </c>
      <c r="H14" s="13" t="s">
        <v>13</v>
      </c>
      <c r="I14" s="10">
        <f>SUMIFS('base 1'!C:C,'base 1'!A:A,downtime!D14,'base 1'!B:B,H14)/60*J14</f>
        <v>120</v>
      </c>
      <c r="J14" s="2">
        <v>45</v>
      </c>
      <c r="K14" s="5" t="str">
        <f>VLOOKUP(L14,'base 1'!P:Q,2,0)</f>
        <v xml:space="preserve">JANDERSON </v>
      </c>
      <c r="L14" s="20" t="s">
        <v>102</v>
      </c>
      <c r="M14" s="20" t="s">
        <v>103</v>
      </c>
      <c r="N14" s="20" t="s">
        <v>118</v>
      </c>
      <c r="O14" s="1"/>
      <c r="P14" s="1"/>
    </row>
    <row r="15" spans="1:16" x14ac:dyDescent="0.3">
      <c r="A15" s="19">
        <v>46126</v>
      </c>
      <c r="B15" s="2" t="s">
        <v>8</v>
      </c>
      <c r="C15" s="4">
        <v>1</v>
      </c>
      <c r="D15" s="4">
        <v>8</v>
      </c>
      <c r="E15" s="5" t="str">
        <f t="array" ref="E15">IFERROR(INDEX('base 1'!$F$2:$F$31,MATCH(1, ('base 1'!$G$2:$G$31=D15)*('base 1'!$H$2:$H$31=C15),0)),"")</f>
        <v>JESSILANE DA COSTA</v>
      </c>
      <c r="F15" s="31">
        <f>VLOOKUP(H15,'base 1'!K:L,2,0)</f>
        <v>280</v>
      </c>
      <c r="G15" s="31">
        <f t="shared" si="0"/>
        <v>44800</v>
      </c>
      <c r="H15" s="13" t="s">
        <v>13</v>
      </c>
      <c r="I15" s="10">
        <f>SUMIFS('base 1'!C:C,'base 1'!A:A,downtime!D15,'base 1'!B:B,H15)/60*J15</f>
        <v>160</v>
      </c>
      <c r="J15" s="2">
        <v>60</v>
      </c>
      <c r="K15" s="5" t="str">
        <f>VLOOKUP(L15,'base 1'!P:Q,2,0)</f>
        <v xml:space="preserve">JANDERSON </v>
      </c>
      <c r="L15" s="20" t="s">
        <v>102</v>
      </c>
      <c r="M15" s="20" t="s">
        <v>103</v>
      </c>
      <c r="N15" s="20" t="s">
        <v>118</v>
      </c>
      <c r="O15" s="1"/>
      <c r="P15" s="1"/>
    </row>
    <row r="16" spans="1:16" x14ac:dyDescent="0.3">
      <c r="A16" s="19">
        <v>46126</v>
      </c>
      <c r="B16" s="2" t="s">
        <v>44</v>
      </c>
      <c r="C16" s="4">
        <v>1</v>
      </c>
      <c r="D16" s="4">
        <v>8</v>
      </c>
      <c r="E16" s="5" t="str">
        <f t="array" ref="E16">IFERROR(INDEX('base 1'!$F$2:$F$31,MATCH(1, ('base 1'!$G$2:$G$31=D16)*('base 1'!$H$2:$H$31=C16),0)),"")</f>
        <v>JESSILANE DA COSTA</v>
      </c>
      <c r="F16" s="31">
        <f>VLOOKUP(H16,'base 1'!K:L,2,0)</f>
        <v>280</v>
      </c>
      <c r="G16" s="31">
        <f t="shared" si="0"/>
        <v>36586.666666666664</v>
      </c>
      <c r="H16" s="13" t="s">
        <v>13</v>
      </c>
      <c r="I16" s="10">
        <f>SUMIFS('base 1'!C:C,'base 1'!A:A,downtime!D16,'base 1'!B:B,H16)/60*J16</f>
        <v>130.66666666666666</v>
      </c>
      <c r="J16" s="2">
        <v>49</v>
      </c>
      <c r="K16" s="5" t="str">
        <f>VLOOKUP(L16,'base 1'!P:Q,2,0)</f>
        <v xml:space="preserve">JANDERSON </v>
      </c>
      <c r="L16" s="20" t="s">
        <v>102</v>
      </c>
      <c r="M16" s="20" t="s">
        <v>103</v>
      </c>
      <c r="N16" s="20" t="s">
        <v>118</v>
      </c>
      <c r="O16" s="1"/>
      <c r="P16" s="1"/>
    </row>
    <row r="17" spans="1:16" x14ac:dyDescent="0.3">
      <c r="A17" s="19">
        <v>46126</v>
      </c>
      <c r="B17" s="2" t="s">
        <v>5</v>
      </c>
      <c r="C17" s="4">
        <v>1</v>
      </c>
      <c r="D17" s="4">
        <v>8</v>
      </c>
      <c r="E17" s="5" t="str">
        <f t="array" ref="E17">IFERROR(INDEX('base 1'!$F$2:$F$31,MATCH(1, ('base 1'!$G$2:$G$31=D17)*('base 1'!$H$2:$H$31=C17),0)),"")</f>
        <v>JESSILANE DA COSTA</v>
      </c>
      <c r="F17" s="31">
        <f>VLOOKUP(H17,'base 1'!K:L,2,0)</f>
        <v>280</v>
      </c>
      <c r="G17" s="31">
        <f t="shared" si="0"/>
        <v>4480</v>
      </c>
      <c r="H17" s="13" t="s">
        <v>13</v>
      </c>
      <c r="I17" s="10">
        <f>SUMIFS('base 1'!C:C,'base 1'!A:A,downtime!D17,'base 1'!B:B,H17)/60*J17</f>
        <v>16</v>
      </c>
      <c r="J17" s="2">
        <v>6</v>
      </c>
      <c r="K17" s="5" t="str">
        <f>VLOOKUP(L17,'base 1'!P:Q,2,0)</f>
        <v xml:space="preserve">RODRIGO </v>
      </c>
      <c r="L17" s="20" t="s">
        <v>9</v>
      </c>
      <c r="M17" s="20" t="s">
        <v>105</v>
      </c>
      <c r="N17" s="20" t="s">
        <v>119</v>
      </c>
      <c r="O17" s="1"/>
      <c r="P17" s="1"/>
    </row>
    <row r="18" spans="1:16" x14ac:dyDescent="0.3">
      <c r="A18" s="19">
        <v>46126</v>
      </c>
      <c r="B18" s="2" t="s">
        <v>7</v>
      </c>
      <c r="C18" s="4">
        <v>1</v>
      </c>
      <c r="D18" s="4">
        <v>9</v>
      </c>
      <c r="E18" s="5" t="str">
        <f t="array" ref="E18">IFERROR(INDEX('base 1'!$F$2:$F$31,MATCH(1, ('base 1'!$G$2:$G$31=D18)*('base 1'!$H$2:$H$31=C18),0)),"")</f>
        <v>VICTOR RAFAEL</v>
      </c>
      <c r="F18" s="31">
        <f>VLOOKUP(H18,'base 1'!K:L,2,0)</f>
        <v>105</v>
      </c>
      <c r="G18" s="31">
        <f t="shared" si="0"/>
        <v>1050</v>
      </c>
      <c r="H18" s="13" t="s">
        <v>1</v>
      </c>
      <c r="I18" s="10">
        <f>SUMIFS('base 1'!C:C,'base 1'!A:A,downtime!D18,'base 1'!B:B,H18)/60*J18</f>
        <v>10</v>
      </c>
      <c r="J18" s="2">
        <v>4</v>
      </c>
      <c r="K18" s="5" t="str">
        <f>VLOOKUP(L18,'base 1'!P:Q,2,0)</f>
        <v xml:space="preserve">ROGERIO </v>
      </c>
      <c r="L18" s="20" t="s">
        <v>3</v>
      </c>
      <c r="M18" s="20" t="s">
        <v>104</v>
      </c>
      <c r="N18" s="20" t="s">
        <v>120</v>
      </c>
      <c r="O18" s="1"/>
      <c r="P18" s="1"/>
    </row>
    <row r="19" spans="1:16" x14ac:dyDescent="0.3">
      <c r="A19" s="19">
        <v>46126</v>
      </c>
      <c r="B19" s="2" t="s">
        <v>2</v>
      </c>
      <c r="C19" s="4">
        <v>1</v>
      </c>
      <c r="D19" s="4">
        <v>9</v>
      </c>
      <c r="E19" s="5" t="str">
        <f t="array" ref="E19">IFERROR(INDEX('base 1'!$F$2:$F$31,MATCH(1, ('base 1'!$G$2:$G$31=D19)*('base 1'!$H$2:$H$31=C19),0)),"")</f>
        <v>VICTOR RAFAEL</v>
      </c>
      <c r="F19" s="31">
        <f>VLOOKUP(H19,'base 1'!K:L,2,0)</f>
        <v>105</v>
      </c>
      <c r="G19" s="31">
        <f t="shared" si="0"/>
        <v>525</v>
      </c>
      <c r="H19" s="13" t="s">
        <v>1</v>
      </c>
      <c r="I19" s="10">
        <f>SUMIFS('base 1'!C:C,'base 1'!A:A,downtime!D19,'base 1'!B:B,H19)/60*J19</f>
        <v>5</v>
      </c>
      <c r="J19" s="2">
        <v>2</v>
      </c>
      <c r="K19" s="5" t="str">
        <f>VLOOKUP(L19,'base 1'!P:Q,2,0)</f>
        <v xml:space="preserve">ROGERIO </v>
      </c>
      <c r="L19" s="20" t="s">
        <v>3</v>
      </c>
      <c r="M19" s="20" t="s">
        <v>49</v>
      </c>
      <c r="N19" s="20" t="s">
        <v>121</v>
      </c>
      <c r="O19" s="1"/>
      <c r="P19" s="1"/>
    </row>
    <row r="20" spans="1:16" x14ac:dyDescent="0.3">
      <c r="A20" s="19">
        <v>46126</v>
      </c>
      <c r="B20" s="2" t="s">
        <v>4</v>
      </c>
      <c r="C20" s="4">
        <v>1</v>
      </c>
      <c r="D20" s="4">
        <v>9</v>
      </c>
      <c r="E20" s="5" t="str">
        <f t="array" ref="E20">IFERROR(INDEX('base 1'!$F$2:$F$31,MATCH(1, ('base 1'!$G$2:$G$31=D20)*('base 1'!$H$2:$H$31=C20),0)),"")</f>
        <v>VICTOR RAFAEL</v>
      </c>
      <c r="F20" s="31">
        <f>VLOOKUP(H20,'base 1'!K:L,2,0)</f>
        <v>105</v>
      </c>
      <c r="G20" s="31">
        <f t="shared" si="0"/>
        <v>1050</v>
      </c>
      <c r="H20" s="13" t="s">
        <v>1</v>
      </c>
      <c r="I20" s="10">
        <f>SUMIFS('base 1'!C:C,'base 1'!A:A,downtime!D20,'base 1'!B:B,H20)/60*J20</f>
        <v>10</v>
      </c>
      <c r="J20" s="2">
        <v>4</v>
      </c>
      <c r="K20" s="5" t="str">
        <f>VLOOKUP(L20,'base 1'!P:Q,2,0)</f>
        <v xml:space="preserve">ROGERIO </v>
      </c>
      <c r="L20" s="20" t="s">
        <v>3</v>
      </c>
      <c r="M20" s="20" t="s">
        <v>104</v>
      </c>
      <c r="N20" s="20" t="s">
        <v>120</v>
      </c>
      <c r="O20" s="1"/>
      <c r="P20" s="1"/>
    </row>
    <row r="21" spans="1:16" x14ac:dyDescent="0.3">
      <c r="A21" s="19">
        <v>46126</v>
      </c>
      <c r="B21" s="2" t="s">
        <v>87</v>
      </c>
      <c r="C21" s="4">
        <v>2</v>
      </c>
      <c r="D21" s="4">
        <v>2</v>
      </c>
      <c r="E21" s="5" t="str">
        <f t="array" ref="E21">IFERROR(INDEX('base 1'!$F$2:$F$31,MATCH(1, ('base 1'!$G$2:$G$31=D21)*('base 1'!$H$2:$H$31=C21),0)),"")</f>
        <v>JESSICA JORGE</v>
      </c>
      <c r="F21" s="31">
        <f>VLOOKUP(H21,'base 1'!K:L,2,0)</f>
        <v>274</v>
      </c>
      <c r="G21" s="31">
        <f t="shared" si="0"/>
        <v>32058</v>
      </c>
      <c r="H21" s="13" t="s">
        <v>93</v>
      </c>
      <c r="I21" s="10">
        <f>SUMIFS('base 1'!C:C,'base 1'!A:A,downtime!D21,'base 1'!B:B,H21)/60*J21</f>
        <v>117</v>
      </c>
      <c r="J21" s="2">
        <v>60</v>
      </c>
      <c r="K21" s="5" t="str">
        <f>VLOOKUP(L21,'base 1'!P:Q,2,0)</f>
        <v xml:space="preserve">JANDERSON </v>
      </c>
      <c r="L21" s="20" t="s">
        <v>0</v>
      </c>
      <c r="M21" s="20" t="s">
        <v>98</v>
      </c>
      <c r="N21" s="20" t="s">
        <v>48</v>
      </c>
      <c r="O21" s="1"/>
      <c r="P21" s="1"/>
    </row>
    <row r="22" spans="1:16" x14ac:dyDescent="0.3">
      <c r="A22" s="19">
        <v>46126</v>
      </c>
      <c r="B22" s="2" t="s">
        <v>45</v>
      </c>
      <c r="C22" s="4">
        <v>2</v>
      </c>
      <c r="D22" s="4">
        <v>2</v>
      </c>
      <c r="E22" s="5" t="str">
        <f t="array" ref="E22">IFERROR(INDEX('base 1'!$F$2:$F$31,MATCH(1, ('base 1'!$G$2:$G$31=D22)*('base 1'!$H$2:$H$31=C22),0)),"")</f>
        <v>JESSICA JORGE</v>
      </c>
      <c r="F22" s="31">
        <f>VLOOKUP(H22,'base 1'!K:L,2,0)</f>
        <v>274</v>
      </c>
      <c r="G22" s="31">
        <f t="shared" si="0"/>
        <v>32058</v>
      </c>
      <c r="H22" s="13" t="s">
        <v>93</v>
      </c>
      <c r="I22" s="10">
        <f>SUMIFS('base 1'!C:C,'base 1'!A:A,downtime!D22,'base 1'!B:B,H22)/60*J22</f>
        <v>117</v>
      </c>
      <c r="J22" s="2">
        <v>60</v>
      </c>
      <c r="K22" s="5" t="str">
        <f>VLOOKUP(L22,'base 1'!P:Q,2,0)</f>
        <v xml:space="preserve">JANDERSON </v>
      </c>
      <c r="L22" s="20" t="s">
        <v>0</v>
      </c>
      <c r="M22" s="20" t="s">
        <v>98</v>
      </c>
      <c r="N22" s="20" t="s">
        <v>48</v>
      </c>
      <c r="O22" s="1"/>
      <c r="P22" s="1"/>
    </row>
    <row r="23" spans="1:16" x14ac:dyDescent="0.3">
      <c r="A23" s="19">
        <v>46126</v>
      </c>
      <c r="B23" s="2" t="s">
        <v>87</v>
      </c>
      <c r="C23" s="4">
        <v>2</v>
      </c>
      <c r="D23" s="4">
        <v>4</v>
      </c>
      <c r="E23" s="5" t="str">
        <f t="array" ref="E23">IFERROR(INDEX('base 1'!$F$2:$F$31,MATCH(1, ('base 1'!$G$2:$G$31=D23)*('base 1'!$H$2:$H$31=C23),0)),"")</f>
        <v xml:space="preserve">LUCIANA DE OLIVEIRA </v>
      </c>
      <c r="F23" s="31">
        <f>VLOOKUP(H23,'base 1'!K:L,2,0)</f>
        <v>44.57</v>
      </c>
      <c r="G23" s="31">
        <f t="shared" si="0"/>
        <v>6013.9786666666669</v>
      </c>
      <c r="H23" s="13" t="s">
        <v>10</v>
      </c>
      <c r="I23" s="10">
        <f>SUMIFS('base 1'!C:C,'base 1'!A:A,downtime!D23,'base 1'!B:B,H23)/60*J23</f>
        <v>134.93333333333334</v>
      </c>
      <c r="J23" s="2">
        <v>22</v>
      </c>
      <c r="K23" s="5" t="str">
        <f>VLOOKUP(L23,'base 1'!P:Q,2,0)</f>
        <v xml:space="preserve">JANDERSON </v>
      </c>
      <c r="L23" s="20" t="s">
        <v>0</v>
      </c>
      <c r="M23" s="20" t="s">
        <v>98</v>
      </c>
      <c r="N23" s="20" t="s">
        <v>122</v>
      </c>
      <c r="O23" s="1"/>
      <c r="P23" s="1"/>
    </row>
    <row r="24" spans="1:16" x14ac:dyDescent="0.3">
      <c r="A24" s="19">
        <v>46126</v>
      </c>
      <c r="B24" s="2" t="s">
        <v>86</v>
      </c>
      <c r="C24" s="4">
        <v>2</v>
      </c>
      <c r="D24" s="4">
        <v>4</v>
      </c>
      <c r="E24" s="5" t="str">
        <f t="array" ref="E24">IFERROR(INDEX('base 1'!$F$2:$F$31,MATCH(1, ('base 1'!$G$2:$G$31=D24)*('base 1'!$H$2:$H$31=C24),0)),"")</f>
        <v xml:space="preserve">LUCIANA DE OLIVEIRA </v>
      </c>
      <c r="F24" s="31">
        <f>VLOOKUP(H24,'base 1'!K:L,2,0)</f>
        <v>44.57</v>
      </c>
      <c r="G24" s="31">
        <f t="shared" si="0"/>
        <v>1366.8133333333335</v>
      </c>
      <c r="H24" s="13" t="s">
        <v>10</v>
      </c>
      <c r="I24" s="10">
        <f>SUMIFS('base 1'!C:C,'base 1'!A:A,downtime!D24,'base 1'!B:B,H24)/60*J24</f>
        <v>30.666666666666668</v>
      </c>
      <c r="J24" s="2">
        <v>5</v>
      </c>
      <c r="K24" s="5" t="str">
        <f>VLOOKUP(L24,'base 1'!P:Q,2,0)</f>
        <v xml:space="preserve">JANDERSON </v>
      </c>
      <c r="L24" s="20" t="s">
        <v>0</v>
      </c>
      <c r="M24" s="20" t="s">
        <v>98</v>
      </c>
      <c r="N24" s="20" t="s">
        <v>122</v>
      </c>
      <c r="O24" s="1"/>
      <c r="P24" s="1"/>
    </row>
    <row r="25" spans="1:16" x14ac:dyDescent="0.3">
      <c r="A25" s="19">
        <v>46126</v>
      </c>
      <c r="B25" s="2" t="s">
        <v>16</v>
      </c>
      <c r="C25" s="4">
        <v>2</v>
      </c>
      <c r="D25" s="4">
        <v>4</v>
      </c>
      <c r="E25" s="5" t="str">
        <f t="array" ref="E25">IFERROR(INDEX('base 1'!$F$2:$F$31,MATCH(1, ('base 1'!$G$2:$G$31=D25)*('base 1'!$H$2:$H$31=C25),0)),"")</f>
        <v xml:space="preserve">LUCIANA DE OLIVEIRA </v>
      </c>
      <c r="F25" s="31">
        <f>VLOOKUP(H25,'base 1'!K:L,2,0)</f>
        <v>44.57</v>
      </c>
      <c r="G25" s="31">
        <f t="shared" si="0"/>
        <v>1093.4506666666668</v>
      </c>
      <c r="H25" s="13" t="s">
        <v>10</v>
      </c>
      <c r="I25" s="10">
        <f>SUMIFS('base 1'!C:C,'base 1'!A:A,downtime!D25,'base 1'!B:B,H25)/60*J25</f>
        <v>24.533333333333335</v>
      </c>
      <c r="J25" s="2">
        <v>4</v>
      </c>
      <c r="K25" s="5" t="str">
        <f>VLOOKUP(L25,'base 1'!P:Q,2,0)</f>
        <v xml:space="preserve">JANDERSON </v>
      </c>
      <c r="L25" s="20" t="s">
        <v>0</v>
      </c>
      <c r="M25" s="20" t="s">
        <v>98</v>
      </c>
      <c r="N25" s="20" t="s">
        <v>122</v>
      </c>
      <c r="O25" s="1"/>
      <c r="P25" s="1"/>
    </row>
    <row r="26" spans="1:16" x14ac:dyDescent="0.3">
      <c r="A26" s="19">
        <v>46126</v>
      </c>
      <c r="B26" s="2" t="s">
        <v>45</v>
      </c>
      <c r="C26" s="4">
        <v>2</v>
      </c>
      <c r="D26" s="4">
        <v>4</v>
      </c>
      <c r="E26" s="5" t="str">
        <f t="array" ref="E26">IFERROR(INDEX('base 1'!$F$2:$F$31,MATCH(1, ('base 1'!$G$2:$G$31=D26)*('base 1'!$H$2:$H$31=C26),0)),"")</f>
        <v xml:space="preserve">LUCIANA DE OLIVEIRA </v>
      </c>
      <c r="F26" s="31">
        <f>VLOOKUP(H26,'base 1'!K:L,2,0)</f>
        <v>44.57</v>
      </c>
      <c r="G26" s="31">
        <f t="shared" si="0"/>
        <v>1366.8133333333335</v>
      </c>
      <c r="H26" s="13" t="s">
        <v>10</v>
      </c>
      <c r="I26" s="10">
        <f>SUMIFS('base 1'!C:C,'base 1'!A:A,downtime!D26,'base 1'!B:B,H26)/60*J26</f>
        <v>30.666666666666668</v>
      </c>
      <c r="J26" s="2">
        <v>5</v>
      </c>
      <c r="K26" s="5" t="str">
        <f>VLOOKUP(L26,'base 1'!P:Q,2,0)</f>
        <v xml:space="preserve">RODRIGO </v>
      </c>
      <c r="L26" s="20" t="s">
        <v>9</v>
      </c>
      <c r="M26" s="20" t="s">
        <v>105</v>
      </c>
      <c r="N26" s="20" t="s">
        <v>123</v>
      </c>
      <c r="O26" s="1"/>
      <c r="P26" s="1"/>
    </row>
    <row r="27" spans="1:16" x14ac:dyDescent="0.3">
      <c r="A27" s="19">
        <v>46126</v>
      </c>
      <c r="B27" s="2" t="s">
        <v>16</v>
      </c>
      <c r="C27" s="4">
        <v>2</v>
      </c>
      <c r="D27" s="4">
        <v>7</v>
      </c>
      <c r="E27" s="5" t="str">
        <f t="array" ref="E27">IFERROR(INDEX('base 1'!$F$2:$F$31,MATCH(1, ('base 1'!$G$2:$G$31=D27)*('base 1'!$H$2:$H$31=C27),0)),"")</f>
        <v/>
      </c>
      <c r="F27" s="31">
        <f>VLOOKUP(H27,'base 1'!K:L,2,0)</f>
        <v>212.66</v>
      </c>
      <c r="G27" s="31">
        <f t="shared" si="0"/>
        <v>7655.76</v>
      </c>
      <c r="H27" s="13" t="s">
        <v>255</v>
      </c>
      <c r="I27" s="10">
        <f>SUMIFS('base 1'!C:C,'base 1'!A:A,downtime!D27,'base 1'!B:B,H27)/60*J27</f>
        <v>36</v>
      </c>
      <c r="J27" s="2">
        <v>30</v>
      </c>
      <c r="K27" s="5" t="str">
        <f>VLOOKUP(L27,'base 1'!P:Q,2,0)</f>
        <v xml:space="preserve">ROGERIO </v>
      </c>
      <c r="L27" s="20" t="s">
        <v>3</v>
      </c>
      <c r="M27" s="20" t="s">
        <v>106</v>
      </c>
      <c r="N27" s="20" t="s">
        <v>124</v>
      </c>
      <c r="O27" s="1"/>
      <c r="P27" s="1"/>
    </row>
    <row r="28" spans="1:16" x14ac:dyDescent="0.3">
      <c r="A28" s="19">
        <v>46126</v>
      </c>
      <c r="B28" s="2" t="s">
        <v>45</v>
      </c>
      <c r="C28" s="4">
        <v>2</v>
      </c>
      <c r="D28" s="4">
        <v>8</v>
      </c>
      <c r="E28" s="5" t="str">
        <f t="array" ref="E28">IFERROR(INDEX('base 1'!$F$2:$F$31,MATCH(1, ('base 1'!$G$2:$G$31=D28)*('base 1'!$H$2:$H$31=C28),0)),"")</f>
        <v xml:space="preserve">	KAYVE SANTOS</v>
      </c>
      <c r="F28" s="31">
        <f>VLOOKUP(H28,'base 1'!K:L,2,0)</f>
        <v>280</v>
      </c>
      <c r="G28" s="31">
        <f t="shared" si="0"/>
        <v>44800</v>
      </c>
      <c r="H28" s="13" t="s">
        <v>13</v>
      </c>
      <c r="I28" s="10">
        <f>SUMIFS('base 1'!C:C,'base 1'!A:A,downtime!D28,'base 1'!B:B,H28)/60*J28</f>
        <v>160</v>
      </c>
      <c r="J28" s="2">
        <v>60</v>
      </c>
      <c r="K28" s="5" t="str">
        <f>VLOOKUP(L28,'base 1'!P:Q,2,0)</f>
        <v xml:space="preserve">JANDERSON </v>
      </c>
      <c r="L28" s="20" t="s">
        <v>102</v>
      </c>
      <c r="M28" s="20" t="s">
        <v>103</v>
      </c>
      <c r="N28" s="20" t="s">
        <v>125</v>
      </c>
      <c r="O28" s="1"/>
      <c r="P28" s="1"/>
    </row>
    <row r="29" spans="1:16" x14ac:dyDescent="0.3">
      <c r="A29" s="19">
        <v>46126</v>
      </c>
      <c r="B29" s="2" t="s">
        <v>85</v>
      </c>
      <c r="C29" s="4">
        <v>2</v>
      </c>
      <c r="D29" s="4">
        <v>8</v>
      </c>
      <c r="E29" s="5" t="str">
        <f t="array" ref="E29">IFERROR(INDEX('base 1'!$F$2:$F$31,MATCH(1, ('base 1'!$G$2:$G$31=D29)*('base 1'!$H$2:$H$31=C29),0)),"")</f>
        <v xml:space="preserve">	KAYVE SANTOS</v>
      </c>
      <c r="F29" s="31">
        <f>VLOOKUP(H29,'base 1'!K:L,2,0)</f>
        <v>280</v>
      </c>
      <c r="G29" s="31">
        <f t="shared" si="0"/>
        <v>29866.666666666664</v>
      </c>
      <c r="H29" s="13" t="s">
        <v>13</v>
      </c>
      <c r="I29" s="10">
        <f>SUMIFS('base 1'!C:C,'base 1'!A:A,downtime!D29,'base 1'!B:B,H29)/60*J29</f>
        <v>106.66666666666666</v>
      </c>
      <c r="J29" s="2">
        <v>40</v>
      </c>
      <c r="K29" s="5" t="str">
        <f>VLOOKUP(L29,'base 1'!P:Q,2,0)</f>
        <v xml:space="preserve">JOBIM </v>
      </c>
      <c r="L29" s="20" t="s">
        <v>12</v>
      </c>
      <c r="M29" s="20" t="s">
        <v>142</v>
      </c>
      <c r="N29" s="20" t="s">
        <v>126</v>
      </c>
    </row>
    <row r="30" spans="1:16" x14ac:dyDescent="0.3">
      <c r="A30" s="19">
        <v>46126</v>
      </c>
      <c r="B30" s="2" t="s">
        <v>89</v>
      </c>
      <c r="C30" s="4">
        <v>2</v>
      </c>
      <c r="D30" s="4">
        <v>8</v>
      </c>
      <c r="E30" s="5" t="str">
        <f t="array" ref="E30">IFERROR(INDEX('base 1'!$F$2:$F$31,MATCH(1, ('base 1'!$G$2:$G$31=D30)*('base 1'!$H$2:$H$31=C30),0)),"")</f>
        <v xml:space="preserve">	KAYVE SANTOS</v>
      </c>
      <c r="F30" s="31">
        <f>VLOOKUP(H30,'base 1'!K:L,2,0)</f>
        <v>280</v>
      </c>
      <c r="G30" s="31">
        <f t="shared" si="0"/>
        <v>14933.333333333332</v>
      </c>
      <c r="H30" s="13" t="s">
        <v>13</v>
      </c>
      <c r="I30" s="10">
        <f>SUMIFS('base 1'!C:C,'base 1'!A:A,downtime!D30,'base 1'!B:B,H30)/60*J30</f>
        <v>53.333333333333329</v>
      </c>
      <c r="J30" s="2">
        <v>20</v>
      </c>
      <c r="K30" s="5" t="str">
        <f>VLOOKUP(L30,'base 1'!P:Q,2,0)</f>
        <v xml:space="preserve">JOBIM </v>
      </c>
      <c r="L30" s="20" t="s">
        <v>12</v>
      </c>
      <c r="M30" s="20" t="s">
        <v>142</v>
      </c>
      <c r="N30" s="20" t="s">
        <v>126</v>
      </c>
    </row>
    <row r="31" spans="1:16" x14ac:dyDescent="0.3">
      <c r="A31" s="19">
        <v>46126</v>
      </c>
      <c r="B31" s="2" t="s">
        <v>16</v>
      </c>
      <c r="C31" s="4">
        <v>2</v>
      </c>
      <c r="D31" s="4">
        <v>8</v>
      </c>
      <c r="E31" s="5" t="str">
        <f t="array" ref="E31">IFERROR(INDEX('base 1'!$F$2:$F$31,MATCH(1, ('base 1'!$G$2:$G$31=D31)*('base 1'!$H$2:$H$31=C31),0)),"")</f>
        <v xml:space="preserve">	KAYVE SANTOS</v>
      </c>
      <c r="F31" s="31">
        <f>VLOOKUP(H31,'base 1'!K:L,2,0)</f>
        <v>280</v>
      </c>
      <c r="G31" s="31">
        <f t="shared" si="0"/>
        <v>44800</v>
      </c>
      <c r="H31" s="13" t="s">
        <v>13</v>
      </c>
      <c r="I31" s="10">
        <f>SUMIFS('base 1'!C:C,'base 1'!A:A,downtime!D31,'base 1'!B:B,H31)/60*J31</f>
        <v>160</v>
      </c>
      <c r="J31" s="2">
        <v>60</v>
      </c>
      <c r="K31" s="5" t="str">
        <f>VLOOKUP(L31,'base 1'!P:Q,2,0)</f>
        <v xml:space="preserve">JOBIM </v>
      </c>
      <c r="L31" s="20" t="s">
        <v>12</v>
      </c>
      <c r="M31" s="20" t="s">
        <v>142</v>
      </c>
      <c r="N31" s="20" t="s">
        <v>126</v>
      </c>
    </row>
    <row r="32" spans="1:16" x14ac:dyDescent="0.3">
      <c r="A32" s="19">
        <v>46126</v>
      </c>
      <c r="B32" s="2" t="s">
        <v>86</v>
      </c>
      <c r="C32" s="4">
        <v>2</v>
      </c>
      <c r="D32" s="4">
        <v>8</v>
      </c>
      <c r="E32" s="5" t="str">
        <f t="array" ref="E32">IFERROR(INDEX('base 1'!$F$2:$F$31,MATCH(1, ('base 1'!$G$2:$G$31=D32)*('base 1'!$H$2:$H$31=C32),0)),"")</f>
        <v xml:space="preserve">	KAYVE SANTOS</v>
      </c>
      <c r="F32" s="31">
        <f>VLOOKUP(H32,'base 1'!K:L,2,0)</f>
        <v>280</v>
      </c>
      <c r="G32" s="31">
        <f t="shared" si="0"/>
        <v>44800</v>
      </c>
      <c r="H32" s="13" t="s">
        <v>13</v>
      </c>
      <c r="I32" s="10">
        <f>SUMIFS('base 1'!C:C,'base 1'!A:A,downtime!D32,'base 1'!B:B,H32)/60*J32</f>
        <v>160</v>
      </c>
      <c r="J32" s="2">
        <v>60</v>
      </c>
      <c r="K32" s="5" t="str">
        <f>VLOOKUP(L32,'base 1'!P:Q,2,0)</f>
        <v xml:space="preserve">JOBIM </v>
      </c>
      <c r="L32" s="20" t="s">
        <v>12</v>
      </c>
      <c r="M32" s="20" t="s">
        <v>142</v>
      </c>
      <c r="N32" s="20" t="s">
        <v>126</v>
      </c>
    </row>
    <row r="33" spans="1:14" x14ac:dyDescent="0.3">
      <c r="A33" s="19">
        <v>46126</v>
      </c>
      <c r="B33" s="2" t="s">
        <v>88</v>
      </c>
      <c r="C33" s="4">
        <v>2</v>
      </c>
      <c r="D33" s="4">
        <v>8</v>
      </c>
      <c r="E33" s="5" t="str">
        <f t="array" ref="E33">IFERROR(INDEX('base 1'!$F$2:$F$31,MATCH(1, ('base 1'!$G$2:$G$31=D33)*('base 1'!$H$2:$H$31=C33),0)),"")</f>
        <v xml:space="preserve">	KAYVE SANTOS</v>
      </c>
      <c r="F33" s="31">
        <f>VLOOKUP(H33,'base 1'!K:L,2,0)</f>
        <v>280</v>
      </c>
      <c r="G33" s="31">
        <f t="shared" si="0"/>
        <v>11200</v>
      </c>
      <c r="H33" s="13" t="s">
        <v>13</v>
      </c>
      <c r="I33" s="10">
        <f>SUMIFS('base 1'!C:C,'base 1'!A:A,downtime!D33,'base 1'!B:B,H33)/60*J33</f>
        <v>40</v>
      </c>
      <c r="J33" s="2">
        <v>15</v>
      </c>
      <c r="K33" s="5" t="str">
        <f>VLOOKUP(L33,'base 1'!P:Q,2,0)</f>
        <v xml:space="preserve">JOBIM </v>
      </c>
      <c r="L33" s="20" t="s">
        <v>12</v>
      </c>
      <c r="M33" s="20" t="s">
        <v>142</v>
      </c>
      <c r="N33" s="20" t="s">
        <v>126</v>
      </c>
    </row>
    <row r="34" spans="1:14" x14ac:dyDescent="0.3">
      <c r="A34" s="19">
        <v>46126</v>
      </c>
      <c r="B34" s="2" t="s">
        <v>87</v>
      </c>
      <c r="C34" s="4">
        <v>2</v>
      </c>
      <c r="D34" s="4">
        <v>8</v>
      </c>
      <c r="E34" s="5" t="str">
        <f t="array" ref="E34">IFERROR(INDEX('base 1'!$F$2:$F$31,MATCH(1, ('base 1'!$G$2:$G$31=D34)*('base 1'!$H$2:$H$31=C34),0)),"")</f>
        <v xml:space="preserve">	KAYVE SANTOS</v>
      </c>
      <c r="F34" s="31">
        <f>VLOOKUP(H34,'base 1'!K:L,2,0)</f>
        <v>280</v>
      </c>
      <c r="G34" s="31">
        <f t="shared" si="0"/>
        <v>44800</v>
      </c>
      <c r="H34" s="13" t="s">
        <v>13</v>
      </c>
      <c r="I34" s="10">
        <f>SUMIFS('base 1'!C:C,'base 1'!A:A,downtime!D34,'base 1'!B:B,H34)/60*J34</f>
        <v>160</v>
      </c>
      <c r="J34" s="2">
        <v>60</v>
      </c>
      <c r="K34" s="5" t="str">
        <f>VLOOKUP(L34,'base 1'!P:Q,2,0)</f>
        <v xml:space="preserve">JANDERSON </v>
      </c>
      <c r="L34" s="20" t="s">
        <v>102</v>
      </c>
      <c r="M34" s="20" t="s">
        <v>103</v>
      </c>
      <c r="N34" s="20" t="s">
        <v>125</v>
      </c>
    </row>
    <row r="35" spans="1:14" x14ac:dyDescent="0.3">
      <c r="A35" s="19">
        <v>46126</v>
      </c>
      <c r="B35" s="2" t="s">
        <v>14</v>
      </c>
      <c r="C35" s="4">
        <v>2</v>
      </c>
      <c r="D35" s="4">
        <v>8</v>
      </c>
      <c r="E35" s="5" t="str">
        <f t="array" ref="E35">IFERROR(INDEX('base 1'!$F$2:$F$31,MATCH(1, ('base 1'!$G$2:$G$31=D35)*('base 1'!$H$2:$H$31=C35),0)),"")</f>
        <v xml:space="preserve">	KAYVE SANTOS</v>
      </c>
      <c r="F35" s="31">
        <f>VLOOKUP(H35,'base 1'!K:L,2,0)</f>
        <v>280</v>
      </c>
      <c r="G35" s="31">
        <f t="shared" si="0"/>
        <v>37333.333333333328</v>
      </c>
      <c r="H35" s="13" t="s">
        <v>13</v>
      </c>
      <c r="I35" s="10">
        <f>SUMIFS('base 1'!C:C,'base 1'!A:A,downtime!D35,'base 1'!B:B,H35)/60*J35</f>
        <v>133.33333333333331</v>
      </c>
      <c r="J35" s="2">
        <v>50</v>
      </c>
      <c r="K35" s="5" t="str">
        <f>VLOOKUP(L35,'base 1'!P:Q,2,0)</f>
        <v xml:space="preserve">JOBIM </v>
      </c>
      <c r="L35" s="20" t="s">
        <v>12</v>
      </c>
      <c r="M35" s="20" t="s">
        <v>142</v>
      </c>
      <c r="N35" s="20" t="s">
        <v>126</v>
      </c>
    </row>
    <row r="36" spans="1:14" x14ac:dyDescent="0.3">
      <c r="A36" s="19">
        <v>46126</v>
      </c>
      <c r="B36" s="2" t="s">
        <v>45</v>
      </c>
      <c r="C36" s="4">
        <v>2</v>
      </c>
      <c r="D36" s="4">
        <v>9</v>
      </c>
      <c r="E36" s="5" t="str">
        <f t="array" ref="E36">IFERROR(INDEX('base 1'!$F$2:$F$31,MATCH(1, ('base 1'!$G$2:$G$31=D36)*('base 1'!$H$2:$H$31=C36),0)),"")</f>
        <v>DANIEL FEITOZA</v>
      </c>
      <c r="F36" s="31">
        <f>VLOOKUP(H36,'base 1'!K:L,2,0)</f>
        <v>105</v>
      </c>
      <c r="G36" s="31">
        <f t="shared" si="0"/>
        <v>4725</v>
      </c>
      <c r="H36" s="13" t="s">
        <v>1</v>
      </c>
      <c r="I36" s="10">
        <f>SUMIFS('base 1'!C:C,'base 1'!A:A,downtime!D36,'base 1'!B:B,H36)/60*J36</f>
        <v>45</v>
      </c>
      <c r="J36" s="2">
        <v>18</v>
      </c>
      <c r="K36" s="5" t="str">
        <f>VLOOKUP(L36,'base 1'!P:Q,2,0)</f>
        <v xml:space="preserve">RODRIGO </v>
      </c>
      <c r="L36" s="20" t="s">
        <v>9</v>
      </c>
      <c r="M36" s="20" t="s">
        <v>107</v>
      </c>
      <c r="N36" s="20" t="s">
        <v>127</v>
      </c>
    </row>
    <row r="37" spans="1:14" x14ac:dyDescent="0.3">
      <c r="A37" s="19">
        <v>46126</v>
      </c>
      <c r="B37" s="2" t="s">
        <v>14</v>
      </c>
      <c r="C37" s="4">
        <v>2</v>
      </c>
      <c r="D37" s="4">
        <v>9</v>
      </c>
      <c r="E37" s="5" t="str">
        <f t="array" ref="E37">IFERROR(INDEX('base 1'!$F$2:$F$31,MATCH(1, ('base 1'!$G$2:$G$31=D37)*('base 1'!$H$2:$H$31=C37),0)),"")</f>
        <v>DANIEL FEITOZA</v>
      </c>
      <c r="F37" s="31">
        <f>VLOOKUP(H37,'base 1'!K:L,2,0)</f>
        <v>93</v>
      </c>
      <c r="G37" s="31">
        <f t="shared" si="0"/>
        <v>7440</v>
      </c>
      <c r="H37" s="13" t="s">
        <v>50</v>
      </c>
      <c r="I37" s="10">
        <f>SUMIFS('base 1'!C:C,'base 1'!A:A,downtime!D37,'base 1'!B:B,H37)/60*J37</f>
        <v>80</v>
      </c>
      <c r="J37" s="2">
        <v>32</v>
      </c>
      <c r="K37" s="5" t="str">
        <f>VLOOKUP(L37,'base 1'!P:Q,2,0)</f>
        <v xml:space="preserve">CLEISYON </v>
      </c>
      <c r="L37" s="20" t="s">
        <v>252</v>
      </c>
      <c r="M37" s="20" t="s">
        <v>108</v>
      </c>
      <c r="N37" s="20" t="s">
        <v>128</v>
      </c>
    </row>
    <row r="38" spans="1:14" x14ac:dyDescent="0.3">
      <c r="A38" s="19">
        <v>46126</v>
      </c>
      <c r="B38" s="2" t="s">
        <v>89</v>
      </c>
      <c r="C38" s="4">
        <v>2</v>
      </c>
      <c r="D38" s="4">
        <v>9</v>
      </c>
      <c r="E38" s="5" t="str">
        <f t="array" ref="E38">IFERROR(INDEX('base 1'!$F$2:$F$31,MATCH(1, ('base 1'!$G$2:$G$31=D38)*('base 1'!$H$2:$H$31=C38),0)),"")</f>
        <v>DANIEL FEITOZA</v>
      </c>
      <c r="F38" s="31">
        <f>VLOOKUP(H38,'base 1'!K:L,2,0)</f>
        <v>105</v>
      </c>
      <c r="G38" s="31">
        <f t="shared" si="0"/>
        <v>5250</v>
      </c>
      <c r="H38" s="13" t="s">
        <v>1</v>
      </c>
      <c r="I38" s="10">
        <f>SUMIFS('base 1'!C:C,'base 1'!A:A,downtime!D38,'base 1'!B:B,H38)/60*J38</f>
        <v>50</v>
      </c>
      <c r="J38" s="2">
        <v>20</v>
      </c>
      <c r="K38" s="5" t="str">
        <f>VLOOKUP(L38,'base 1'!P:Q,2,0)</f>
        <v xml:space="preserve">DOUGLAS </v>
      </c>
      <c r="L38" s="20" t="s">
        <v>96</v>
      </c>
      <c r="M38" s="20" t="s">
        <v>109</v>
      </c>
      <c r="N38" s="20" t="s">
        <v>129</v>
      </c>
    </row>
    <row r="39" spans="1:14" x14ac:dyDescent="0.3">
      <c r="A39" s="19">
        <v>46126</v>
      </c>
      <c r="B39" s="2" t="s">
        <v>16</v>
      </c>
      <c r="C39" s="4">
        <v>2</v>
      </c>
      <c r="D39" s="4">
        <v>9</v>
      </c>
      <c r="E39" s="5" t="str">
        <f t="array" ref="E39">IFERROR(INDEX('base 1'!$F$2:$F$31,MATCH(1, ('base 1'!$G$2:$G$31=D39)*('base 1'!$H$2:$H$31=C39),0)),"")</f>
        <v>DANIEL FEITOZA</v>
      </c>
      <c r="F39" s="31">
        <f>VLOOKUP(H39,'base 1'!K:L,2,0)</f>
        <v>105</v>
      </c>
      <c r="G39" s="31">
        <f t="shared" si="0"/>
        <v>4200</v>
      </c>
      <c r="H39" s="13" t="s">
        <v>1</v>
      </c>
      <c r="I39" s="10">
        <f>SUMIFS('base 1'!C:C,'base 1'!A:A,downtime!D39,'base 1'!B:B,H39)/60*J39</f>
        <v>40</v>
      </c>
      <c r="J39" s="2">
        <v>16</v>
      </c>
      <c r="K39" s="5" t="str">
        <f>VLOOKUP(L39,'base 1'!P:Q,2,0)</f>
        <v xml:space="preserve">CLEISYON </v>
      </c>
      <c r="L39" s="20" t="s">
        <v>252</v>
      </c>
      <c r="M39" s="20" t="s">
        <v>108</v>
      </c>
      <c r="N39" s="20" t="s">
        <v>128</v>
      </c>
    </row>
    <row r="40" spans="1:14" x14ac:dyDescent="0.3">
      <c r="A40" s="19">
        <v>46126</v>
      </c>
      <c r="B40" s="2" t="s">
        <v>86</v>
      </c>
      <c r="C40" s="4">
        <v>2</v>
      </c>
      <c r="D40" s="4">
        <v>9</v>
      </c>
      <c r="E40" s="5" t="str">
        <f t="array" ref="E40">IFERROR(INDEX('base 1'!$F$2:$F$31,MATCH(1, ('base 1'!$G$2:$G$31=D40)*('base 1'!$H$2:$H$31=C40),0)),"")</f>
        <v>DANIEL FEITOZA</v>
      </c>
      <c r="F40" s="31">
        <f>VLOOKUP(H40,'base 1'!K:L,2,0)</f>
        <v>105</v>
      </c>
      <c r="G40" s="31">
        <f t="shared" si="0"/>
        <v>2625</v>
      </c>
      <c r="H40" s="13" t="s">
        <v>1</v>
      </c>
      <c r="I40" s="10">
        <f>SUMIFS('base 1'!C:C,'base 1'!A:A,downtime!D40,'base 1'!B:B,H40)/60*J40</f>
        <v>25</v>
      </c>
      <c r="J40" s="2">
        <v>10</v>
      </c>
      <c r="K40" s="5" t="str">
        <f>VLOOKUP(L40,'base 1'!P:Q,2,0)</f>
        <v xml:space="preserve">ROGERIO </v>
      </c>
      <c r="L40" s="20" t="s">
        <v>3</v>
      </c>
      <c r="M40" s="20" t="s">
        <v>104</v>
      </c>
      <c r="N40" s="20" t="s">
        <v>130</v>
      </c>
    </row>
    <row r="41" spans="1:14" x14ac:dyDescent="0.3">
      <c r="A41" s="19">
        <v>46126</v>
      </c>
      <c r="B41" s="2" t="s">
        <v>44</v>
      </c>
      <c r="C41" s="4">
        <v>1</v>
      </c>
      <c r="D41" s="4">
        <v>5</v>
      </c>
      <c r="E41" s="5" t="str">
        <f t="array" ref="E41">IFERROR(INDEX('base 1'!$F$2:$F$31,MATCH(1, ('base 1'!$G$2:$G$31=D41)*('base 1'!$H$2:$H$31=C41),0)),"")</f>
        <v>GLEYCIANE LIMA</v>
      </c>
      <c r="F41" s="31">
        <f>VLOOKUP(H41,'base 1'!K:L,2,0)</f>
        <v>205</v>
      </c>
      <c r="G41" s="31">
        <f t="shared" si="0"/>
        <v>13871.666666666668</v>
      </c>
      <c r="H41" s="13" t="s">
        <v>95</v>
      </c>
      <c r="I41" s="10">
        <f>SUMIFS('base 1'!C:C,'base 1'!A:A,downtime!D41,'base 1'!B:B,H41)/60*J41</f>
        <v>67.666666666666671</v>
      </c>
      <c r="J41" s="2">
        <v>29</v>
      </c>
      <c r="K41" s="5" t="str">
        <f>VLOOKUP(L41,'base 1'!P:Q,2,0)</f>
        <v xml:space="preserve">JANDERSON </v>
      </c>
      <c r="L41" s="20" t="s">
        <v>0</v>
      </c>
      <c r="M41" s="20" t="s">
        <v>98</v>
      </c>
      <c r="N41" s="20" t="s">
        <v>131</v>
      </c>
    </row>
    <row r="42" spans="1:14" x14ac:dyDescent="0.3">
      <c r="A42" s="19">
        <v>46126</v>
      </c>
      <c r="B42" s="2" t="s">
        <v>17</v>
      </c>
      <c r="C42" s="4">
        <v>3</v>
      </c>
      <c r="D42" s="4">
        <v>4</v>
      </c>
      <c r="E42" s="5" t="str">
        <f t="array" ref="E42">IFERROR(INDEX('base 1'!$F$2:$F$31,MATCH(1, ('base 1'!$G$2:$G$31=D42)*('base 1'!$H$2:$H$31=C42),0)),"")</f>
        <v>CAMILA PEREIRA</v>
      </c>
      <c r="F42" s="31">
        <f>VLOOKUP(H42,'base 1'!K:L,2,0)</f>
        <v>44.57</v>
      </c>
      <c r="G42" s="31">
        <f t="shared" si="0"/>
        <v>1093.4506666666668</v>
      </c>
      <c r="H42" s="13" t="s">
        <v>10</v>
      </c>
      <c r="I42" s="10">
        <f>SUMIFS('base 1'!C:C,'base 1'!A:A,downtime!D42,'base 1'!B:B,H42)/60*J42</f>
        <v>24.533333333333335</v>
      </c>
      <c r="J42" s="2">
        <v>4</v>
      </c>
      <c r="K42" s="5" t="str">
        <f>VLOOKUP(L42,'base 1'!P:Q,2,0)</f>
        <v xml:space="preserve">RODRIGO </v>
      </c>
      <c r="L42" s="20" t="s">
        <v>9</v>
      </c>
      <c r="M42" s="20" t="s">
        <v>105</v>
      </c>
      <c r="N42" s="20" t="s">
        <v>132</v>
      </c>
    </row>
    <row r="43" spans="1:14" x14ac:dyDescent="0.3">
      <c r="A43" s="19">
        <v>46126</v>
      </c>
      <c r="B43" s="2" t="s">
        <v>43</v>
      </c>
      <c r="C43" s="4">
        <v>3</v>
      </c>
      <c r="D43" s="4">
        <v>5</v>
      </c>
      <c r="E43" s="5" t="str">
        <f t="array" ref="E43">IFERROR(INDEX('base 1'!$F$2:$F$31,MATCH(1, ('base 1'!$G$2:$G$31=D43)*('base 1'!$H$2:$H$31=C43),0)),"")</f>
        <v>BRUNO GOMES</v>
      </c>
      <c r="F43" s="31">
        <f>VLOOKUP(H43,'base 1'!K:L,2,0)</f>
        <v>122</v>
      </c>
      <c r="G43" s="31">
        <f t="shared" si="0"/>
        <v>4880</v>
      </c>
      <c r="H43" s="13" t="s">
        <v>11</v>
      </c>
      <c r="I43" s="10">
        <f>SUMIFS('base 1'!C:C,'base 1'!A:A,downtime!D43,'base 1'!B:B,H43)/60*J43</f>
        <v>40</v>
      </c>
      <c r="J43" s="2">
        <v>20</v>
      </c>
      <c r="K43" s="5" t="str">
        <f>VLOOKUP(L43,'base 1'!P:Q,2,0)</f>
        <v xml:space="preserve">JANDERSON </v>
      </c>
      <c r="L43" s="20" t="s">
        <v>0</v>
      </c>
      <c r="M43" s="20" t="s">
        <v>110</v>
      </c>
      <c r="N43" s="20" t="s">
        <v>133</v>
      </c>
    </row>
    <row r="44" spans="1:14" x14ac:dyDescent="0.3">
      <c r="A44" s="19">
        <v>46126</v>
      </c>
      <c r="B44" s="2" t="s">
        <v>91</v>
      </c>
      <c r="C44" s="4">
        <v>3</v>
      </c>
      <c r="D44" s="4">
        <v>5</v>
      </c>
      <c r="E44" s="5" t="str">
        <f t="array" ref="E44">IFERROR(INDEX('base 1'!$F$2:$F$31,MATCH(1, ('base 1'!$G$2:$G$31=D44)*('base 1'!$H$2:$H$31=C44),0)),"")</f>
        <v>BRUNO GOMES</v>
      </c>
      <c r="F44" s="31">
        <f>VLOOKUP(H44,'base 1'!K:L,2,0)</f>
        <v>122</v>
      </c>
      <c r="G44" s="31">
        <f t="shared" si="0"/>
        <v>5368</v>
      </c>
      <c r="H44" s="13" t="s">
        <v>11</v>
      </c>
      <c r="I44" s="10">
        <f>SUMIFS('base 1'!C:C,'base 1'!A:A,downtime!D44,'base 1'!B:B,H44)/60*J44</f>
        <v>44</v>
      </c>
      <c r="J44" s="2">
        <v>22</v>
      </c>
      <c r="K44" s="5" t="str">
        <f>VLOOKUP(L44,'base 1'!P:Q,2,0)</f>
        <v xml:space="preserve">JANDERSON </v>
      </c>
      <c r="L44" s="20" t="s">
        <v>0</v>
      </c>
      <c r="M44" s="20" t="s">
        <v>110</v>
      </c>
      <c r="N44" s="20" t="s">
        <v>134</v>
      </c>
    </row>
    <row r="45" spans="1:14" x14ac:dyDescent="0.3">
      <c r="A45" s="19">
        <v>46126</v>
      </c>
      <c r="B45" s="2" t="s">
        <v>20</v>
      </c>
      <c r="C45" s="4">
        <v>3</v>
      </c>
      <c r="D45" s="4">
        <v>5</v>
      </c>
      <c r="E45" s="5" t="str">
        <f t="array" ref="E45">IFERROR(INDEX('base 1'!$F$2:$F$31,MATCH(1, ('base 1'!$G$2:$G$31=D45)*('base 1'!$H$2:$H$31=C45),0)),"")</f>
        <v>BRUNO GOMES</v>
      </c>
      <c r="F45" s="31">
        <f>VLOOKUP(H45,'base 1'!K:L,2,0)</f>
        <v>122</v>
      </c>
      <c r="G45" s="31">
        <f t="shared" si="0"/>
        <v>9760</v>
      </c>
      <c r="H45" s="13" t="s">
        <v>11</v>
      </c>
      <c r="I45" s="10">
        <f>SUMIFS('base 1'!C:C,'base 1'!A:A,downtime!D45,'base 1'!B:B,H45)/60*J45</f>
        <v>80</v>
      </c>
      <c r="J45" s="2">
        <v>40</v>
      </c>
      <c r="K45" s="5" t="str">
        <f>VLOOKUP(L45,'base 1'!P:Q,2,0)</f>
        <v xml:space="preserve">ROGERIO </v>
      </c>
      <c r="L45" s="20" t="s">
        <v>3</v>
      </c>
      <c r="M45" s="20" t="s">
        <v>111</v>
      </c>
      <c r="N45" s="20" t="s">
        <v>135</v>
      </c>
    </row>
    <row r="46" spans="1:14" x14ac:dyDescent="0.3">
      <c r="A46" s="19">
        <v>46126</v>
      </c>
      <c r="B46" s="2" t="s">
        <v>19</v>
      </c>
      <c r="C46" s="4">
        <v>3</v>
      </c>
      <c r="D46" s="4">
        <v>8</v>
      </c>
      <c r="E46" s="5" t="str">
        <f t="array" ref="E46">IFERROR(INDEX('base 1'!$F$2:$F$31,MATCH(1, ('base 1'!$G$2:$G$31=D46)*('base 1'!$H$2:$H$31=C46),0)),"")</f>
        <v>ELIAS EMANOEL</v>
      </c>
      <c r="F46" s="31">
        <f>VLOOKUP(H46,'base 1'!K:L,2,0)</f>
        <v>280</v>
      </c>
      <c r="G46" s="31">
        <f t="shared" si="0"/>
        <v>29866.666666666664</v>
      </c>
      <c r="H46" s="13" t="s">
        <v>13</v>
      </c>
      <c r="I46" s="10">
        <f>SUMIFS('base 1'!C:C,'base 1'!A:A,downtime!D46,'base 1'!B:B,H46)/60*J46</f>
        <v>106.66666666666666</v>
      </c>
      <c r="J46" s="2">
        <v>40</v>
      </c>
      <c r="K46" s="5" t="str">
        <f>VLOOKUP(L46,'base 1'!P:Q,2,0)</f>
        <v xml:space="preserve">JOBIM </v>
      </c>
      <c r="L46" s="20" t="s">
        <v>12</v>
      </c>
      <c r="M46" s="20" t="s">
        <v>142</v>
      </c>
      <c r="N46" s="20" t="s">
        <v>136</v>
      </c>
    </row>
    <row r="47" spans="1:14" x14ac:dyDescent="0.3">
      <c r="A47" s="19">
        <v>46126</v>
      </c>
      <c r="B47" s="2" t="s">
        <v>43</v>
      </c>
      <c r="C47" s="4">
        <v>3</v>
      </c>
      <c r="D47" s="4">
        <v>8</v>
      </c>
      <c r="E47" s="5" t="str">
        <f t="array" ref="E47">IFERROR(INDEX('base 1'!$F$2:$F$31,MATCH(1, ('base 1'!$G$2:$G$31=D47)*('base 1'!$H$2:$H$31=C47),0)),"")</f>
        <v>ELIAS EMANOEL</v>
      </c>
      <c r="F47" s="31">
        <f>VLOOKUP(H47,'base 1'!K:L,2,0)</f>
        <v>280</v>
      </c>
      <c r="G47" s="31">
        <f t="shared" si="0"/>
        <v>37333.333333333328</v>
      </c>
      <c r="H47" s="13" t="s">
        <v>13</v>
      </c>
      <c r="I47" s="10">
        <f>SUMIFS('base 1'!C:C,'base 1'!A:A,downtime!D47,'base 1'!B:B,H47)/60*J47</f>
        <v>133.33333333333331</v>
      </c>
      <c r="J47" s="2">
        <v>50</v>
      </c>
      <c r="K47" s="5" t="str">
        <f>VLOOKUP(L47,'base 1'!P:Q,2,0)</f>
        <v xml:space="preserve">JOBIM </v>
      </c>
      <c r="L47" s="20" t="s">
        <v>12</v>
      </c>
      <c r="M47" s="20" t="s">
        <v>142</v>
      </c>
      <c r="N47" s="20" t="s">
        <v>137</v>
      </c>
    </row>
    <row r="48" spans="1:14" x14ac:dyDescent="0.3">
      <c r="A48" s="19">
        <v>46126</v>
      </c>
      <c r="B48" s="2" t="s">
        <v>91</v>
      </c>
      <c r="C48" s="4">
        <v>3</v>
      </c>
      <c r="D48" s="4">
        <v>8</v>
      </c>
      <c r="E48" s="5" t="str">
        <f t="array" ref="E48">IFERROR(INDEX('base 1'!$F$2:$F$31,MATCH(1, ('base 1'!$G$2:$G$31=D48)*('base 1'!$H$2:$H$31=C48),0)),"")</f>
        <v>ELIAS EMANOEL</v>
      </c>
      <c r="F48" s="31">
        <f>VLOOKUP(H48,'base 1'!K:L,2,0)</f>
        <v>280</v>
      </c>
      <c r="G48" s="31">
        <f t="shared" si="0"/>
        <v>37333.333333333328</v>
      </c>
      <c r="H48" s="13" t="s">
        <v>13</v>
      </c>
      <c r="I48" s="10">
        <f>SUMIFS('base 1'!C:C,'base 1'!A:A,downtime!D48,'base 1'!B:B,H48)/60*J48</f>
        <v>133.33333333333331</v>
      </c>
      <c r="J48" s="2">
        <v>50</v>
      </c>
      <c r="K48" s="5" t="str">
        <f>VLOOKUP(L48,'base 1'!P:Q,2,0)</f>
        <v xml:space="preserve">JOBIM </v>
      </c>
      <c r="L48" s="20" t="s">
        <v>12</v>
      </c>
      <c r="M48" s="20" t="s">
        <v>142</v>
      </c>
      <c r="N48" s="20" t="s">
        <v>138</v>
      </c>
    </row>
    <row r="49" spans="1:14" x14ac:dyDescent="0.3">
      <c r="A49" s="19">
        <v>46126</v>
      </c>
      <c r="B49" s="2" t="s">
        <v>90</v>
      </c>
      <c r="C49" s="4">
        <v>3</v>
      </c>
      <c r="D49" s="4">
        <v>8</v>
      </c>
      <c r="E49" s="5" t="str">
        <f t="array" ref="E49">IFERROR(INDEX('base 1'!$F$2:$F$31,MATCH(1, ('base 1'!$G$2:$G$31=D49)*('base 1'!$H$2:$H$31=C49),0)),"")</f>
        <v>ELIAS EMANOEL</v>
      </c>
      <c r="F49" s="31">
        <f>VLOOKUP(H49,'base 1'!K:L,2,0)</f>
        <v>280</v>
      </c>
      <c r="G49" s="31">
        <f t="shared" si="0"/>
        <v>44800</v>
      </c>
      <c r="H49" s="13" t="s">
        <v>13</v>
      </c>
      <c r="I49" s="10">
        <f>SUMIFS('base 1'!C:C,'base 1'!A:A,downtime!D49,'base 1'!B:B,H49)/60*J49</f>
        <v>160</v>
      </c>
      <c r="J49" s="2">
        <v>60</v>
      </c>
      <c r="K49" s="5" t="str">
        <f>VLOOKUP(L49,'base 1'!P:Q,2,0)</f>
        <v xml:space="preserve">JOBIM </v>
      </c>
      <c r="L49" s="20" t="s">
        <v>12</v>
      </c>
      <c r="M49" s="20" t="s">
        <v>142</v>
      </c>
      <c r="N49" s="20" t="s">
        <v>136</v>
      </c>
    </row>
    <row r="50" spans="1:14" x14ac:dyDescent="0.3">
      <c r="A50" s="19">
        <v>46126</v>
      </c>
      <c r="B50" s="2" t="s">
        <v>43</v>
      </c>
      <c r="C50" s="4">
        <v>3</v>
      </c>
      <c r="D50" s="4">
        <v>9</v>
      </c>
      <c r="E50" s="5" t="str">
        <f t="array" ref="E50">IFERROR(INDEX('base 1'!$F$2:$F$31,MATCH(1, ('base 1'!$G$2:$G$31=D50)*('base 1'!$H$2:$H$31=C50),0)),"")</f>
        <v xml:space="preserve">	GISELE PINHEIRO</v>
      </c>
      <c r="F50" s="31">
        <f>VLOOKUP(H50,'base 1'!K:L,2,0)</f>
        <v>93</v>
      </c>
      <c r="G50" s="31">
        <f t="shared" si="0"/>
        <v>5115</v>
      </c>
      <c r="H50" s="13" t="s">
        <v>50</v>
      </c>
      <c r="I50" s="10">
        <f>SUMIFS('base 1'!C:C,'base 1'!A:A,downtime!D50,'base 1'!B:B,H50)/60*J50</f>
        <v>55</v>
      </c>
      <c r="J50" s="2">
        <v>22</v>
      </c>
      <c r="K50" s="5" t="str">
        <f>VLOOKUP(L50,'base 1'!P:Q,2,0)</f>
        <v xml:space="preserve">CLEISYON </v>
      </c>
      <c r="L50" s="20" t="s">
        <v>252</v>
      </c>
      <c r="M50" s="20" t="s">
        <v>108</v>
      </c>
      <c r="N50" s="20" t="s">
        <v>139</v>
      </c>
    </row>
    <row r="51" spans="1:14" x14ac:dyDescent="0.3">
      <c r="A51" s="19">
        <v>46126</v>
      </c>
      <c r="B51" s="2" t="s">
        <v>91</v>
      </c>
      <c r="C51" s="4">
        <v>3</v>
      </c>
      <c r="D51" s="4">
        <v>9</v>
      </c>
      <c r="E51" s="5" t="str">
        <f t="array" ref="E51">IFERROR(INDEX('base 1'!$F$2:$F$31,MATCH(1, ('base 1'!$G$2:$G$31=D51)*('base 1'!$H$2:$H$31=C51),0)),"")</f>
        <v xml:space="preserve">	GISELE PINHEIRO</v>
      </c>
      <c r="F51" s="31">
        <f>VLOOKUP(H51,'base 1'!K:L,2,0)</f>
        <v>93</v>
      </c>
      <c r="G51" s="31">
        <f t="shared" si="0"/>
        <v>4650</v>
      </c>
      <c r="H51" s="13" t="s">
        <v>50</v>
      </c>
      <c r="I51" s="10">
        <f>SUMIFS('base 1'!C:C,'base 1'!A:A,downtime!D51,'base 1'!B:B,H51)/60*J51</f>
        <v>50</v>
      </c>
      <c r="J51" s="2">
        <v>20</v>
      </c>
      <c r="K51" s="5" t="str">
        <f>VLOOKUP(L51,'base 1'!P:Q,2,0)</f>
        <v xml:space="preserve">CLEISYON </v>
      </c>
      <c r="L51" s="20" t="s">
        <v>252</v>
      </c>
      <c r="M51" s="20" t="s">
        <v>108</v>
      </c>
      <c r="N51" s="20" t="s">
        <v>139</v>
      </c>
    </row>
    <row r="52" spans="1:14" x14ac:dyDescent="0.3">
      <c r="A52" s="19">
        <v>46126</v>
      </c>
      <c r="B52" s="2" t="s">
        <v>18</v>
      </c>
      <c r="C52" s="4">
        <v>3</v>
      </c>
      <c r="D52" s="4">
        <v>9</v>
      </c>
      <c r="E52" s="5" t="str">
        <f t="array" ref="E52">IFERROR(INDEX('base 1'!$F$2:$F$31,MATCH(1, ('base 1'!$G$2:$G$31=D52)*('base 1'!$H$2:$H$31=C52),0)),"")</f>
        <v xml:space="preserve">	GISELE PINHEIRO</v>
      </c>
      <c r="F52" s="31">
        <f>VLOOKUP(H52,'base 1'!K:L,2,0)</f>
        <v>93</v>
      </c>
      <c r="G52" s="31">
        <f t="shared" si="0"/>
        <v>3487.5</v>
      </c>
      <c r="H52" s="13" t="s">
        <v>50</v>
      </c>
      <c r="I52" s="10">
        <f>SUMIFS('base 1'!C:C,'base 1'!A:A,downtime!D52,'base 1'!B:B,H52)/60*J52</f>
        <v>37.5</v>
      </c>
      <c r="J52" s="2">
        <v>15</v>
      </c>
      <c r="K52" s="5" t="str">
        <f>VLOOKUP(L52,'base 1'!P:Q,2,0)</f>
        <v xml:space="preserve">CLEISYON </v>
      </c>
      <c r="L52" s="20" t="s">
        <v>252</v>
      </c>
      <c r="M52" s="20" t="s">
        <v>108</v>
      </c>
      <c r="N52" s="20" t="s">
        <v>139</v>
      </c>
    </row>
    <row r="53" spans="1:14" x14ac:dyDescent="0.3">
      <c r="A53" s="19">
        <v>46126</v>
      </c>
      <c r="B53" s="2" t="s">
        <v>92</v>
      </c>
      <c r="C53" s="4">
        <v>3</v>
      </c>
      <c r="D53" s="4">
        <v>9</v>
      </c>
      <c r="E53" s="5" t="str">
        <f t="array" ref="E53">IFERROR(INDEX('base 1'!$F$2:$F$31,MATCH(1, ('base 1'!$G$2:$G$31=D53)*('base 1'!$H$2:$H$31=C53),0)),"")</f>
        <v xml:space="preserve">	GISELE PINHEIRO</v>
      </c>
      <c r="F53" s="31">
        <f>VLOOKUP(H53,'base 1'!K:L,2,0)</f>
        <v>93</v>
      </c>
      <c r="G53" s="31">
        <f t="shared" si="0"/>
        <v>5580</v>
      </c>
      <c r="H53" s="13" t="s">
        <v>50</v>
      </c>
      <c r="I53" s="10">
        <f>SUMIFS('base 1'!C:C,'base 1'!A:A,downtime!D53,'base 1'!B:B,H53)/60*J53</f>
        <v>60</v>
      </c>
      <c r="J53" s="2">
        <v>24</v>
      </c>
      <c r="K53" s="5" t="str">
        <f>VLOOKUP(L53,'base 1'!P:Q,2,0)</f>
        <v xml:space="preserve">CLEISYON </v>
      </c>
      <c r="L53" s="20" t="s">
        <v>252</v>
      </c>
      <c r="M53" s="20" t="s">
        <v>108</v>
      </c>
      <c r="N53" s="20" t="s">
        <v>139</v>
      </c>
    </row>
    <row r="54" spans="1:14" x14ac:dyDescent="0.3">
      <c r="A54" s="19">
        <v>46126</v>
      </c>
      <c r="B54" s="2" t="s">
        <v>19</v>
      </c>
      <c r="C54" s="4">
        <v>3</v>
      </c>
      <c r="D54" s="4">
        <v>9</v>
      </c>
      <c r="E54" s="5" t="str">
        <f t="array" ref="E54">IFERROR(INDEX('base 1'!$F$2:$F$31,MATCH(1, ('base 1'!$G$2:$G$31=D54)*('base 1'!$H$2:$H$31=C54),0)),"")</f>
        <v xml:space="preserve">	GISELE PINHEIRO</v>
      </c>
      <c r="F54" s="31">
        <f>VLOOKUP(H54,'base 1'!K:L,2,0)</f>
        <v>93</v>
      </c>
      <c r="G54" s="31">
        <f t="shared" si="0"/>
        <v>5812.5</v>
      </c>
      <c r="H54" s="13" t="s">
        <v>50</v>
      </c>
      <c r="I54" s="10">
        <f>SUMIFS('base 1'!C:C,'base 1'!A:A,downtime!D54,'base 1'!B:B,H54)/60*J54</f>
        <v>62.5</v>
      </c>
      <c r="J54" s="2">
        <v>25</v>
      </c>
      <c r="K54" s="5" t="str">
        <f>VLOOKUP(L54,'base 1'!P:Q,2,0)</f>
        <v xml:space="preserve">CLEISYON </v>
      </c>
      <c r="L54" s="20" t="s">
        <v>252</v>
      </c>
      <c r="M54" s="20" t="s">
        <v>108</v>
      </c>
      <c r="N54" s="20" t="s">
        <v>139</v>
      </c>
    </row>
    <row r="55" spans="1:14" x14ac:dyDescent="0.3">
      <c r="A55" s="19">
        <v>46126</v>
      </c>
      <c r="B55" s="2" t="s">
        <v>19</v>
      </c>
      <c r="C55" s="4">
        <v>3</v>
      </c>
      <c r="D55" s="4">
        <v>11</v>
      </c>
      <c r="E55" s="5" t="str">
        <f t="array" ref="E55">IFERROR(INDEX('base 1'!$F$2:$F$31,MATCH(1, ('base 1'!$G$2:$G$31=D55)*('base 1'!$H$2:$H$31=C55),0)),"")</f>
        <v xml:space="preserve">	KAMILLA PEREIRA</v>
      </c>
      <c r="F55" s="31">
        <f>VLOOKUP(H55,'base 1'!K:L,2,0)</f>
        <v>172</v>
      </c>
      <c r="G55" s="31">
        <f t="shared" si="0"/>
        <v>11180</v>
      </c>
      <c r="H55" s="2" t="s">
        <v>15</v>
      </c>
      <c r="I55" s="10">
        <f>SUMIFS('base 1'!C:C,'base 1'!A:A,downtime!D55,'base 1'!B:B,H55)/60*J55</f>
        <v>65</v>
      </c>
      <c r="J55" s="2">
        <v>30</v>
      </c>
      <c r="K55" s="5" t="str">
        <f>VLOOKUP(L55,'base 1'!P:Q,2,0)</f>
        <v xml:space="preserve">CLEISYON </v>
      </c>
      <c r="L55" s="20" t="s">
        <v>252</v>
      </c>
      <c r="M55" s="20" t="s">
        <v>110</v>
      </c>
      <c r="N55" s="20" t="s">
        <v>140</v>
      </c>
    </row>
    <row r="56" spans="1:14" x14ac:dyDescent="0.3">
      <c r="A56" s="19">
        <v>46126</v>
      </c>
      <c r="B56" s="2" t="s">
        <v>92</v>
      </c>
      <c r="C56" s="4">
        <v>3</v>
      </c>
      <c r="D56" s="4">
        <v>11</v>
      </c>
      <c r="E56" s="5" t="str">
        <f t="array" ref="E56">IFERROR(INDEX('base 1'!$F$2:$F$31,MATCH(1, ('base 1'!$G$2:$G$31=D56)*('base 1'!$H$2:$H$31=C56),0)),"")</f>
        <v xml:space="preserve">	KAMILLA PEREIRA</v>
      </c>
      <c r="F56" s="31">
        <f>VLOOKUP(H56,'base 1'!K:L,2,0)</f>
        <v>172</v>
      </c>
      <c r="G56" s="31">
        <f t="shared" si="0"/>
        <v>9316.6666666666661</v>
      </c>
      <c r="H56" s="2" t="s">
        <v>15</v>
      </c>
      <c r="I56" s="10">
        <f>SUMIFS('base 1'!C:C,'base 1'!A:A,downtime!D56,'base 1'!B:B,H56)/60*J56</f>
        <v>54.166666666666664</v>
      </c>
      <c r="J56" s="2">
        <v>25</v>
      </c>
      <c r="K56" s="5" t="str">
        <f>VLOOKUP(L56,'base 1'!P:Q,2,0)</f>
        <v xml:space="preserve">CLEISYON </v>
      </c>
      <c r="L56" s="20" t="s">
        <v>252</v>
      </c>
      <c r="M56" s="20" t="s">
        <v>110</v>
      </c>
      <c r="N56" s="20" t="s">
        <v>140</v>
      </c>
    </row>
    <row r="57" spans="1:14" x14ac:dyDescent="0.3">
      <c r="A57" s="19">
        <v>46126</v>
      </c>
      <c r="B57" s="2" t="s">
        <v>46</v>
      </c>
      <c r="C57" s="4">
        <v>3</v>
      </c>
      <c r="D57" s="4">
        <v>11</v>
      </c>
      <c r="E57" s="5" t="str">
        <f t="array" ref="E57">IFERROR(INDEX('base 1'!$F$2:$F$31,MATCH(1, ('base 1'!$G$2:$G$31=D57)*('base 1'!$H$2:$H$31=C57),0)),"")</f>
        <v xml:space="preserve">	KAMILLA PEREIRA</v>
      </c>
      <c r="F57" s="31">
        <f>VLOOKUP(H57,'base 1'!K:L,2,0)</f>
        <v>172</v>
      </c>
      <c r="G57" s="31">
        <f t="shared" si="0"/>
        <v>9316.6666666666661</v>
      </c>
      <c r="H57" s="2" t="s">
        <v>15</v>
      </c>
      <c r="I57" s="10">
        <f>SUMIFS('base 1'!C:C,'base 1'!A:A,downtime!D57,'base 1'!B:B,H57)/60*J57</f>
        <v>54.166666666666664</v>
      </c>
      <c r="J57" s="2">
        <v>25</v>
      </c>
      <c r="K57" s="5" t="str">
        <f>VLOOKUP(L57,'base 1'!P:Q,2,0)</f>
        <v xml:space="preserve">CLEISYON </v>
      </c>
      <c r="L57" s="20" t="s">
        <v>252</v>
      </c>
      <c r="M57" s="20" t="s">
        <v>110</v>
      </c>
      <c r="N57" s="20" t="s">
        <v>140</v>
      </c>
    </row>
    <row r="58" spans="1:14" x14ac:dyDescent="0.3">
      <c r="A58" s="19">
        <v>46126</v>
      </c>
      <c r="B58" s="2" t="s">
        <v>16</v>
      </c>
      <c r="C58" s="4">
        <v>3</v>
      </c>
      <c r="D58" s="4">
        <v>7</v>
      </c>
      <c r="E58" s="5" t="str">
        <f t="array" ref="E58">IFERROR(INDEX('base 1'!$F$2:$F$31,MATCH(1, ('base 1'!$G$2:$G$31=D58)*('base 1'!$H$2:$H$31=C58),0)),"")</f>
        <v/>
      </c>
      <c r="F58" s="31">
        <f>VLOOKUP(H58,'base 1'!K:L,2,0)</f>
        <v>212.66</v>
      </c>
      <c r="G58" s="31">
        <f t="shared" si="0"/>
        <v>7655.76</v>
      </c>
      <c r="H58" s="13" t="s">
        <v>255</v>
      </c>
      <c r="I58" s="10">
        <f>SUMIFS('base 1'!C:C,'base 1'!A:A,downtime!D58,'base 1'!B:B,H58)/60*J58</f>
        <v>36</v>
      </c>
      <c r="J58" s="2">
        <v>30</v>
      </c>
      <c r="K58" s="5" t="str">
        <f>VLOOKUP(L58,'base 1'!P:Q,2,0)</f>
        <v xml:space="preserve">ROGERIO </v>
      </c>
      <c r="L58" s="20" t="s">
        <v>3</v>
      </c>
      <c r="M58" s="20" t="s">
        <v>106</v>
      </c>
      <c r="N58" s="20" t="s">
        <v>141</v>
      </c>
    </row>
    <row r="59" spans="1:14" x14ac:dyDescent="0.3">
      <c r="A59" s="19">
        <v>46127</v>
      </c>
      <c r="B59" s="21" t="s">
        <v>4</v>
      </c>
      <c r="C59" s="4">
        <v>1</v>
      </c>
      <c r="D59" s="4">
        <v>3</v>
      </c>
      <c r="E59" s="5" t="str">
        <f t="array" ref="E59">IFERROR(INDEX('base 1'!$F$2:$F$31,MATCH(1, ('base 1'!$G$2:$G$31=D59)*('base 1'!$H$2:$H$31=C59),0)),"")</f>
        <v xml:space="preserve">ADRIELL TRINDADE </v>
      </c>
      <c r="F59" s="31">
        <f>VLOOKUP(H59,'base 1'!K:L,2,0)</f>
        <v>74.489999999999995</v>
      </c>
      <c r="G59" s="31">
        <f t="shared" si="0"/>
        <v>5189.4699999999993</v>
      </c>
      <c r="H59" s="13" t="s">
        <v>144</v>
      </c>
      <c r="I59" s="10">
        <f>SUMIFS('base 1'!C:C,'base 1'!A:A,downtime!D59,'base 1'!B:B,H59)/60*J59</f>
        <v>69.666666666666657</v>
      </c>
      <c r="J59" s="2">
        <v>22</v>
      </c>
      <c r="K59" s="5" t="str">
        <f>VLOOKUP(L59,'base 1'!P:Q,2,0)</f>
        <v xml:space="preserve">JANDERSON </v>
      </c>
      <c r="L59" s="20" t="s">
        <v>0</v>
      </c>
      <c r="M59" s="20" t="s">
        <v>145</v>
      </c>
      <c r="N59" s="20" t="s">
        <v>156</v>
      </c>
    </row>
    <row r="60" spans="1:14" x14ac:dyDescent="0.3">
      <c r="A60" s="19">
        <v>46127</v>
      </c>
      <c r="B60" s="21" t="s">
        <v>2</v>
      </c>
      <c r="C60" s="4">
        <v>1</v>
      </c>
      <c r="D60" s="4">
        <v>3</v>
      </c>
      <c r="E60" s="5" t="str">
        <f t="array" ref="E60">IFERROR(INDEX('base 1'!$F$2:$F$31,MATCH(1, ('base 1'!$G$2:$G$31=D60)*('base 1'!$H$2:$H$31=C60),0)),"")</f>
        <v xml:space="preserve">ADRIELL TRINDADE </v>
      </c>
      <c r="F60" s="31">
        <f>VLOOKUP(H60,'base 1'!K:L,2,0)</f>
        <v>74.489999999999995</v>
      </c>
      <c r="G60" s="31">
        <f t="shared" si="0"/>
        <v>3538.2749999999996</v>
      </c>
      <c r="H60" s="13" t="s">
        <v>144</v>
      </c>
      <c r="I60" s="10">
        <f>SUMIFS('base 1'!C:C,'base 1'!A:A,downtime!D60,'base 1'!B:B,H60)/60*J60</f>
        <v>47.5</v>
      </c>
      <c r="J60" s="2">
        <v>15</v>
      </c>
      <c r="K60" s="5" t="str">
        <f>VLOOKUP(L60,'base 1'!P:Q,2,0)</f>
        <v xml:space="preserve">ROGERIO </v>
      </c>
      <c r="L60" s="20" t="s">
        <v>3</v>
      </c>
      <c r="M60" s="20" t="s">
        <v>49</v>
      </c>
      <c r="N60" s="20" t="s">
        <v>157</v>
      </c>
    </row>
    <row r="61" spans="1:14" x14ac:dyDescent="0.3">
      <c r="A61" s="19">
        <v>46127</v>
      </c>
      <c r="B61" s="21" t="s">
        <v>8</v>
      </c>
      <c r="C61" s="4">
        <v>1</v>
      </c>
      <c r="D61" s="4">
        <v>3</v>
      </c>
      <c r="E61" s="5" t="str">
        <f t="array" ref="E61">IFERROR(INDEX('base 1'!$F$2:$F$31,MATCH(1, ('base 1'!$G$2:$G$31=D61)*('base 1'!$H$2:$H$31=C61),0)),"")</f>
        <v xml:space="preserve">ADRIELL TRINDADE </v>
      </c>
      <c r="F61" s="31">
        <f>VLOOKUP(H61,'base 1'!K:L,2,0)</f>
        <v>74.489999999999995</v>
      </c>
      <c r="G61" s="31">
        <f t="shared" si="0"/>
        <v>2594.7349999999997</v>
      </c>
      <c r="H61" s="13" t="s">
        <v>144</v>
      </c>
      <c r="I61" s="10">
        <f>SUMIFS('base 1'!C:C,'base 1'!A:A,downtime!D61,'base 1'!B:B,H61)/60*J61</f>
        <v>34.833333333333329</v>
      </c>
      <c r="J61" s="2">
        <v>11</v>
      </c>
      <c r="K61" s="5" t="str">
        <f>VLOOKUP(L61,'base 1'!P:Q,2,0)</f>
        <v xml:space="preserve">ROGERIO </v>
      </c>
      <c r="L61" s="20" t="s">
        <v>3</v>
      </c>
      <c r="M61" s="20" t="s">
        <v>111</v>
      </c>
      <c r="N61" s="20" t="s">
        <v>158</v>
      </c>
    </row>
    <row r="62" spans="1:14" x14ac:dyDescent="0.3">
      <c r="A62" s="19">
        <v>46127</v>
      </c>
      <c r="B62" s="21" t="s">
        <v>4</v>
      </c>
      <c r="C62" s="4">
        <v>1</v>
      </c>
      <c r="D62" s="4">
        <v>4</v>
      </c>
      <c r="E62" s="5" t="str">
        <f t="array" ref="E62">IFERROR(INDEX('base 1'!$F$2:$F$31,MATCH(1, ('base 1'!$G$2:$G$31=D62)*('base 1'!$H$2:$H$31=C62),0)),"")</f>
        <v xml:space="preserve">BRUNO LOPES </v>
      </c>
      <c r="F62" s="31">
        <f>VLOOKUP(H62,'base 1'!K:L,2,0)</f>
        <v>44.57</v>
      </c>
      <c r="G62" s="31">
        <f t="shared" si="0"/>
        <v>2733.626666666667</v>
      </c>
      <c r="H62" s="13" t="s">
        <v>10</v>
      </c>
      <c r="I62" s="10">
        <f>SUMIFS('base 1'!C:C,'base 1'!A:A,downtime!D62,'base 1'!B:B,H62)/60*J62</f>
        <v>61.333333333333336</v>
      </c>
      <c r="J62" s="2">
        <v>10</v>
      </c>
      <c r="K62" s="5" t="str">
        <f>VLOOKUP(L62,'base 1'!P:Q,2,0)</f>
        <v xml:space="preserve">DOUGLAS </v>
      </c>
      <c r="L62" s="20" t="s">
        <v>96</v>
      </c>
      <c r="M62" s="20" t="s">
        <v>146</v>
      </c>
      <c r="N62" s="20" t="s">
        <v>159</v>
      </c>
    </row>
    <row r="63" spans="1:14" x14ac:dyDescent="0.3">
      <c r="A63" s="19">
        <v>46127</v>
      </c>
      <c r="B63" s="21" t="s">
        <v>143</v>
      </c>
      <c r="C63" s="4">
        <v>1</v>
      </c>
      <c r="D63" s="4">
        <v>4</v>
      </c>
      <c r="E63" s="5" t="str">
        <f t="array" ref="E63">IFERROR(INDEX('base 1'!$F$2:$F$31,MATCH(1, ('base 1'!$G$2:$G$31=D63)*('base 1'!$H$2:$H$31=C63),0)),"")</f>
        <v xml:space="preserve">BRUNO LOPES </v>
      </c>
      <c r="F63" s="31">
        <f>VLOOKUP(H63,'base 1'!K:L,2,0)</f>
        <v>44.57</v>
      </c>
      <c r="G63" s="31">
        <f t="shared" si="0"/>
        <v>3827.0773333333336</v>
      </c>
      <c r="H63" s="13" t="s">
        <v>10</v>
      </c>
      <c r="I63" s="10">
        <f>SUMIFS('base 1'!C:C,'base 1'!A:A,downtime!D63,'base 1'!B:B,H63)/60*J63</f>
        <v>85.866666666666674</v>
      </c>
      <c r="J63" s="2">
        <v>14</v>
      </c>
      <c r="K63" s="5" t="str">
        <f>VLOOKUP(L63,'base 1'!P:Q,2,0)</f>
        <v xml:space="preserve">JANDERSON </v>
      </c>
      <c r="L63" s="20" t="s">
        <v>0</v>
      </c>
      <c r="M63" s="20" t="s">
        <v>147</v>
      </c>
      <c r="N63" s="20" t="s">
        <v>160</v>
      </c>
    </row>
    <row r="64" spans="1:14" x14ac:dyDescent="0.3">
      <c r="A64" s="19">
        <v>46127</v>
      </c>
      <c r="B64" s="21" t="s">
        <v>2</v>
      </c>
      <c r="C64" s="4">
        <v>1</v>
      </c>
      <c r="D64" s="4">
        <v>4</v>
      </c>
      <c r="E64" s="5" t="str">
        <f t="array" ref="E64">IFERROR(INDEX('base 1'!$F$2:$F$31,MATCH(1, ('base 1'!$G$2:$G$31=D64)*('base 1'!$H$2:$H$31=C64),0)),"")</f>
        <v xml:space="preserve">BRUNO LOPES </v>
      </c>
      <c r="F64" s="31">
        <f>VLOOKUP(H64,'base 1'!K:L,2,0)</f>
        <v>44.57</v>
      </c>
      <c r="G64" s="31">
        <f t="shared" si="0"/>
        <v>820.08800000000008</v>
      </c>
      <c r="H64" s="13" t="s">
        <v>10</v>
      </c>
      <c r="I64" s="10">
        <f>SUMIFS('base 1'!C:C,'base 1'!A:A,downtime!D64,'base 1'!B:B,H64)/60*J64</f>
        <v>18.400000000000002</v>
      </c>
      <c r="J64" s="2">
        <v>3</v>
      </c>
      <c r="K64" s="5" t="str">
        <f>VLOOKUP(L64,'base 1'!P:Q,2,0)</f>
        <v xml:space="preserve">ROGERIO </v>
      </c>
      <c r="L64" s="20" t="s">
        <v>3</v>
      </c>
      <c r="M64" s="20" t="s">
        <v>99</v>
      </c>
      <c r="N64" s="20" t="s">
        <v>161</v>
      </c>
    </row>
    <row r="65" spans="1:14" x14ac:dyDescent="0.3">
      <c r="A65" s="19">
        <v>46127</v>
      </c>
      <c r="B65" s="21" t="s">
        <v>8</v>
      </c>
      <c r="C65" s="4">
        <v>1</v>
      </c>
      <c r="D65" s="4">
        <v>4</v>
      </c>
      <c r="E65" s="5" t="str">
        <f t="array" ref="E65">IFERROR(INDEX('base 1'!$F$2:$F$31,MATCH(1, ('base 1'!$G$2:$G$31=D65)*('base 1'!$H$2:$H$31=C65),0)),"")</f>
        <v xml:space="preserve">BRUNO LOPES </v>
      </c>
      <c r="F65" s="31">
        <f>VLOOKUP(H65,'base 1'!K:L,2,0)</f>
        <v>44.57</v>
      </c>
      <c r="G65" s="31">
        <f t="shared" si="0"/>
        <v>3553.7146666666667</v>
      </c>
      <c r="H65" s="13" t="s">
        <v>10</v>
      </c>
      <c r="I65" s="10">
        <f>SUMIFS('base 1'!C:C,'base 1'!A:A,downtime!D65,'base 1'!B:B,H65)/60*J65</f>
        <v>79.733333333333334</v>
      </c>
      <c r="J65" s="2">
        <v>13</v>
      </c>
      <c r="K65" s="5" t="str">
        <f>VLOOKUP(L65,'base 1'!P:Q,2,0)</f>
        <v xml:space="preserve">ROGERIO </v>
      </c>
      <c r="L65" s="20" t="s">
        <v>3</v>
      </c>
      <c r="M65" s="20" t="s">
        <v>148</v>
      </c>
      <c r="N65" s="20" t="s">
        <v>162</v>
      </c>
    </row>
    <row r="66" spans="1:14" x14ac:dyDescent="0.3">
      <c r="A66" s="19">
        <v>46127</v>
      </c>
      <c r="B66" s="21" t="s">
        <v>143</v>
      </c>
      <c r="C66" s="4">
        <v>1</v>
      </c>
      <c r="D66" s="4">
        <v>4</v>
      </c>
      <c r="E66" s="5" t="str">
        <f t="array" ref="E66">IFERROR(INDEX('base 1'!$F$2:$F$31,MATCH(1, ('base 1'!$G$2:$G$31=D66)*('base 1'!$H$2:$H$31=C66),0)),"")</f>
        <v xml:space="preserve">BRUNO LOPES </v>
      </c>
      <c r="F66" s="31">
        <f>VLOOKUP(H66,'base 1'!K:L,2,0)</f>
        <v>44.57</v>
      </c>
      <c r="G66" s="31">
        <f t="shared" si="0"/>
        <v>4100.4399999999996</v>
      </c>
      <c r="H66" s="13" t="s">
        <v>10</v>
      </c>
      <c r="I66" s="10">
        <f>SUMIFS('base 1'!C:C,'base 1'!A:A,downtime!D66,'base 1'!B:B,H66)/60*J66</f>
        <v>92</v>
      </c>
      <c r="J66" s="2">
        <v>15</v>
      </c>
      <c r="K66" s="5" t="str">
        <f>VLOOKUP(L66,'base 1'!P:Q,2,0)</f>
        <v xml:space="preserve">ROGERIO </v>
      </c>
      <c r="L66" s="20" t="s">
        <v>3</v>
      </c>
      <c r="M66" s="20" t="s">
        <v>148</v>
      </c>
      <c r="N66" s="20" t="s">
        <v>163</v>
      </c>
    </row>
    <row r="67" spans="1:14" x14ac:dyDescent="0.3">
      <c r="A67" s="19">
        <v>46127</v>
      </c>
      <c r="B67" s="21" t="s">
        <v>7</v>
      </c>
      <c r="C67" s="4">
        <v>1</v>
      </c>
      <c r="D67" s="4">
        <v>5</v>
      </c>
      <c r="E67" s="5" t="str">
        <f t="array" ref="E67">IFERROR(INDEX('base 1'!$F$2:$F$31,MATCH(1, ('base 1'!$G$2:$G$31=D67)*('base 1'!$H$2:$H$31=C67),0)),"")</f>
        <v>GLEYCIANE LIMA</v>
      </c>
      <c r="F67" s="31">
        <f>VLOOKUP(H67,'base 1'!K:L,2,0)</f>
        <v>122</v>
      </c>
      <c r="G67" s="31">
        <f t="shared" si="0"/>
        <v>10980</v>
      </c>
      <c r="H67" s="13" t="s">
        <v>11</v>
      </c>
      <c r="I67" s="10">
        <f>SUMIFS('base 1'!C:C,'base 1'!A:A,downtime!D67,'base 1'!B:B,H67)/60*J67</f>
        <v>90</v>
      </c>
      <c r="J67" s="2">
        <v>45</v>
      </c>
      <c r="K67" s="5" t="str">
        <f>VLOOKUP(L67,'base 1'!P:Q,2,0)</f>
        <v xml:space="preserve">ROGERIO </v>
      </c>
      <c r="L67" s="20" t="s">
        <v>3</v>
      </c>
      <c r="M67" s="20" t="s">
        <v>148</v>
      </c>
      <c r="N67" s="20" t="s">
        <v>164</v>
      </c>
    </row>
    <row r="68" spans="1:14" x14ac:dyDescent="0.3">
      <c r="A68" s="19">
        <v>46127</v>
      </c>
      <c r="B68" s="21" t="s">
        <v>2</v>
      </c>
      <c r="C68" s="4">
        <v>1</v>
      </c>
      <c r="D68" s="4">
        <v>5</v>
      </c>
      <c r="E68" s="5" t="str">
        <f t="array" ref="E68">IFERROR(INDEX('base 1'!$F$2:$F$31,MATCH(1, ('base 1'!$G$2:$G$31=D68)*('base 1'!$H$2:$H$31=C68),0)),"")</f>
        <v>GLEYCIANE LIMA</v>
      </c>
      <c r="F68" s="31">
        <f>VLOOKUP(H68,'base 1'!K:L,2,0)</f>
        <v>122</v>
      </c>
      <c r="G68" s="31">
        <f t="shared" ref="G68:G127" si="1">F68*I68</f>
        <v>3660</v>
      </c>
      <c r="H68" s="13" t="s">
        <v>11</v>
      </c>
      <c r="I68" s="10">
        <f>SUMIFS('base 1'!C:C,'base 1'!A:A,downtime!D68,'base 1'!B:B,H68)/60*J68</f>
        <v>30</v>
      </c>
      <c r="J68" s="2">
        <v>15</v>
      </c>
      <c r="K68" s="5" t="str">
        <f>VLOOKUP(L68,'base 1'!P:Q,2,0)</f>
        <v xml:space="preserve">ROGERIO </v>
      </c>
      <c r="L68" s="20" t="s">
        <v>3</v>
      </c>
      <c r="M68" s="20" t="s">
        <v>148</v>
      </c>
      <c r="N68" s="20" t="s">
        <v>165</v>
      </c>
    </row>
    <row r="69" spans="1:14" x14ac:dyDescent="0.3">
      <c r="A69" s="19">
        <v>46127</v>
      </c>
      <c r="B69" s="21" t="s">
        <v>4</v>
      </c>
      <c r="C69" s="4">
        <v>1</v>
      </c>
      <c r="D69" s="4">
        <v>5</v>
      </c>
      <c r="E69" s="5" t="str">
        <f t="array" ref="E69">IFERROR(INDEX('base 1'!$F$2:$F$31,MATCH(1, ('base 1'!$G$2:$G$31=D69)*('base 1'!$H$2:$H$31=C69),0)),"")</f>
        <v>GLEYCIANE LIMA</v>
      </c>
      <c r="F69" s="31">
        <f>VLOOKUP(H69,'base 1'!K:L,2,0)</f>
        <v>122</v>
      </c>
      <c r="G69" s="31">
        <f t="shared" si="1"/>
        <v>5612</v>
      </c>
      <c r="H69" s="13" t="s">
        <v>11</v>
      </c>
      <c r="I69" s="10">
        <f>SUMIFS('base 1'!C:C,'base 1'!A:A,downtime!D69,'base 1'!B:B,H69)/60*J69</f>
        <v>46</v>
      </c>
      <c r="J69" s="2">
        <v>23</v>
      </c>
      <c r="K69" s="5" t="str">
        <f>VLOOKUP(L69,'base 1'!P:Q,2,0)</f>
        <v xml:space="preserve">ROGERIO </v>
      </c>
      <c r="L69" s="20" t="s">
        <v>3</v>
      </c>
      <c r="M69" s="20" t="s">
        <v>148</v>
      </c>
      <c r="N69" s="20" t="s">
        <v>165</v>
      </c>
    </row>
    <row r="70" spans="1:14" x14ac:dyDescent="0.3">
      <c r="A70" s="19">
        <v>46127</v>
      </c>
      <c r="B70" s="21" t="s">
        <v>2</v>
      </c>
      <c r="C70" s="4">
        <v>1</v>
      </c>
      <c r="D70" s="4">
        <v>5</v>
      </c>
      <c r="E70" s="5" t="str">
        <f t="array" ref="E70">IFERROR(INDEX('base 1'!$F$2:$F$31,MATCH(1, ('base 1'!$G$2:$G$31=D70)*('base 1'!$H$2:$H$31=C70),0)),"")</f>
        <v>GLEYCIANE LIMA</v>
      </c>
      <c r="F70" s="31">
        <f>VLOOKUP(H70,'base 1'!K:L,2,0)</f>
        <v>122</v>
      </c>
      <c r="G70" s="31">
        <f t="shared" si="1"/>
        <v>4392</v>
      </c>
      <c r="H70" s="13" t="s">
        <v>11</v>
      </c>
      <c r="I70" s="10">
        <f>SUMIFS('base 1'!C:C,'base 1'!A:A,downtime!D70,'base 1'!B:B,H70)/60*J70</f>
        <v>36</v>
      </c>
      <c r="J70" s="2">
        <v>18</v>
      </c>
      <c r="K70" s="5" t="str">
        <f>VLOOKUP(L70,'base 1'!P:Q,2,0)</f>
        <v xml:space="preserve">ROGERIO </v>
      </c>
      <c r="L70" s="20" t="s">
        <v>3</v>
      </c>
      <c r="M70" s="20" t="s">
        <v>99</v>
      </c>
      <c r="N70" s="20" t="s">
        <v>166</v>
      </c>
    </row>
    <row r="71" spans="1:14" x14ac:dyDescent="0.3">
      <c r="A71" s="19">
        <v>46127</v>
      </c>
      <c r="B71" s="21" t="s">
        <v>44</v>
      </c>
      <c r="C71" s="4">
        <v>1</v>
      </c>
      <c r="D71" s="4">
        <v>8</v>
      </c>
      <c r="E71" s="5" t="str">
        <f t="array" ref="E71">IFERROR(INDEX('base 1'!$F$2:$F$31,MATCH(1, ('base 1'!$G$2:$G$31=D71)*('base 1'!$H$2:$H$31=C71),0)),"")</f>
        <v>JESSILANE DA COSTA</v>
      </c>
      <c r="F71" s="31">
        <f>VLOOKUP(H71,'base 1'!K:L,2,0)</f>
        <v>280</v>
      </c>
      <c r="G71" s="31">
        <f t="shared" si="1"/>
        <v>9706.6666666666661</v>
      </c>
      <c r="H71" s="13" t="s">
        <v>13</v>
      </c>
      <c r="I71" s="10">
        <f>SUMIFS('base 1'!C:C,'base 1'!A:A,downtime!D71,'base 1'!B:B,H71)/60*J71</f>
        <v>34.666666666666664</v>
      </c>
      <c r="J71" s="2">
        <v>13</v>
      </c>
      <c r="K71" s="5" t="str">
        <f>VLOOKUP(L71,'base 1'!P:Q,2,0)</f>
        <v xml:space="preserve">RODRIGO </v>
      </c>
      <c r="L71" s="20" t="s">
        <v>9</v>
      </c>
      <c r="M71" s="20" t="s">
        <v>149</v>
      </c>
      <c r="N71" s="20" t="s">
        <v>167</v>
      </c>
    </row>
    <row r="72" spans="1:14" x14ac:dyDescent="0.3">
      <c r="A72" s="19">
        <v>46127</v>
      </c>
      <c r="B72" s="21" t="s">
        <v>7</v>
      </c>
      <c r="C72" s="4">
        <v>1</v>
      </c>
      <c r="D72" s="4">
        <v>8</v>
      </c>
      <c r="E72" s="5" t="str">
        <f t="array" ref="E72">IFERROR(INDEX('base 1'!$F$2:$F$31,MATCH(1, ('base 1'!$G$2:$G$31=D72)*('base 1'!$H$2:$H$31=C72),0)),"")</f>
        <v>JESSILANE DA COSTA</v>
      </c>
      <c r="F72" s="31">
        <f>VLOOKUP(H72,'base 1'!K:L,2,0)</f>
        <v>280</v>
      </c>
      <c r="G72" s="31">
        <f t="shared" si="1"/>
        <v>8213.3333333333321</v>
      </c>
      <c r="H72" s="13" t="s">
        <v>13</v>
      </c>
      <c r="I72" s="10">
        <f>SUMIFS('base 1'!C:C,'base 1'!A:A,downtime!D72,'base 1'!B:B,H72)/60*J72</f>
        <v>29.333333333333332</v>
      </c>
      <c r="J72" s="2">
        <v>11</v>
      </c>
      <c r="K72" s="5" t="str">
        <f>VLOOKUP(L72,'base 1'!P:Q,2,0)</f>
        <v xml:space="preserve">JOBIM </v>
      </c>
      <c r="L72" s="20" t="s">
        <v>12</v>
      </c>
      <c r="M72" s="20" t="s">
        <v>142</v>
      </c>
      <c r="N72" s="20" t="s">
        <v>168</v>
      </c>
    </row>
    <row r="73" spans="1:14" x14ac:dyDescent="0.3">
      <c r="A73" s="19">
        <v>46127</v>
      </c>
      <c r="B73" s="21" t="s">
        <v>4</v>
      </c>
      <c r="C73" s="4">
        <v>1</v>
      </c>
      <c r="D73" s="4">
        <v>8</v>
      </c>
      <c r="E73" s="5" t="str">
        <f t="array" ref="E73">IFERROR(INDEX('base 1'!$F$2:$F$31,MATCH(1, ('base 1'!$G$2:$G$31=D73)*('base 1'!$H$2:$H$31=C73),0)),"")</f>
        <v>JESSILANE DA COSTA</v>
      </c>
      <c r="F73" s="31">
        <f>VLOOKUP(H73,'base 1'!K:L,2,0)</f>
        <v>280</v>
      </c>
      <c r="G73" s="31">
        <f t="shared" si="1"/>
        <v>44800</v>
      </c>
      <c r="H73" s="13" t="s">
        <v>13</v>
      </c>
      <c r="I73" s="10">
        <f>SUMIFS('base 1'!C:C,'base 1'!A:A,downtime!D73,'base 1'!B:B,H73)/60*J73</f>
        <v>160</v>
      </c>
      <c r="J73" s="2">
        <v>60</v>
      </c>
      <c r="K73" s="5" t="str">
        <f>VLOOKUP(L73,'base 1'!P:Q,2,0)</f>
        <v xml:space="preserve">JOBIM </v>
      </c>
      <c r="L73" s="20" t="s">
        <v>12</v>
      </c>
      <c r="M73" s="20" t="s">
        <v>142</v>
      </c>
      <c r="N73" s="20" t="s">
        <v>168</v>
      </c>
    </row>
    <row r="74" spans="1:14" x14ac:dyDescent="0.3">
      <c r="A74" s="19">
        <v>46127</v>
      </c>
      <c r="B74" s="21" t="s">
        <v>2</v>
      </c>
      <c r="C74" s="4">
        <v>1</v>
      </c>
      <c r="D74" s="4">
        <v>8</v>
      </c>
      <c r="E74" s="5" t="str">
        <f t="array" ref="E74">IFERROR(INDEX('base 1'!$F$2:$F$31,MATCH(1, ('base 1'!$G$2:$G$31=D74)*('base 1'!$H$2:$H$31=C74),0)),"")</f>
        <v>JESSILANE DA COSTA</v>
      </c>
      <c r="F74" s="31">
        <f>VLOOKUP(H74,'base 1'!K:L,2,0)</f>
        <v>280</v>
      </c>
      <c r="G74" s="31">
        <f t="shared" si="1"/>
        <v>39573.333333333328</v>
      </c>
      <c r="H74" s="13" t="s">
        <v>13</v>
      </c>
      <c r="I74" s="10">
        <f>SUMIFS('base 1'!C:C,'base 1'!A:A,downtime!D74,'base 1'!B:B,H74)/60*J74</f>
        <v>141.33333333333331</v>
      </c>
      <c r="J74" s="2">
        <v>53</v>
      </c>
      <c r="K74" s="5" t="str">
        <f>VLOOKUP(L74,'base 1'!P:Q,2,0)</f>
        <v xml:space="preserve">JOBIM </v>
      </c>
      <c r="L74" s="20" t="s">
        <v>12</v>
      </c>
      <c r="M74" s="20" t="s">
        <v>142</v>
      </c>
      <c r="N74" s="20" t="s">
        <v>168</v>
      </c>
    </row>
    <row r="75" spans="1:14" x14ac:dyDescent="0.3">
      <c r="A75" s="19">
        <v>46127</v>
      </c>
      <c r="B75" s="21" t="s">
        <v>2</v>
      </c>
      <c r="C75" s="4">
        <v>1</v>
      </c>
      <c r="D75" s="4">
        <v>9</v>
      </c>
      <c r="E75" s="5" t="str">
        <f t="array" ref="E75">IFERROR(INDEX('base 1'!$F$2:$F$31,MATCH(1, ('base 1'!$G$2:$G$31=D75)*('base 1'!$H$2:$H$31=C75),0)),"")</f>
        <v>VICTOR RAFAEL</v>
      </c>
      <c r="F75" s="31">
        <f>VLOOKUP(H75,'base 1'!K:L,2,0)</f>
        <v>93</v>
      </c>
      <c r="G75" s="31">
        <f t="shared" si="1"/>
        <v>9532.5</v>
      </c>
      <c r="H75" s="13" t="s">
        <v>50</v>
      </c>
      <c r="I75" s="10">
        <f>SUMIFS('base 1'!C:C,'base 1'!A:A,downtime!D75,'base 1'!B:B,H75)/60*J75</f>
        <v>102.5</v>
      </c>
      <c r="J75" s="2">
        <v>41</v>
      </c>
      <c r="K75" s="5" t="str">
        <f>VLOOKUP(L75,'base 1'!P:Q,2,0)</f>
        <v xml:space="preserve">CLEISYON </v>
      </c>
      <c r="L75" s="20" t="s">
        <v>252</v>
      </c>
      <c r="M75" s="20" t="s">
        <v>108</v>
      </c>
      <c r="N75" s="20" t="s">
        <v>169</v>
      </c>
    </row>
    <row r="76" spans="1:14" x14ac:dyDescent="0.3">
      <c r="A76" s="19">
        <v>46127</v>
      </c>
      <c r="B76" s="21" t="s">
        <v>4</v>
      </c>
      <c r="C76" s="4">
        <v>1</v>
      </c>
      <c r="D76" s="4">
        <v>9</v>
      </c>
      <c r="E76" s="5" t="str">
        <f t="array" ref="E76">IFERROR(INDEX('base 1'!$F$2:$F$31,MATCH(1, ('base 1'!$G$2:$G$31=D76)*('base 1'!$H$2:$H$31=C76),0)),"")</f>
        <v>VICTOR RAFAEL</v>
      </c>
      <c r="F76" s="31">
        <f>VLOOKUP(H76,'base 1'!K:L,2,0)</f>
        <v>93</v>
      </c>
      <c r="G76" s="31">
        <f t="shared" si="1"/>
        <v>9532.5</v>
      </c>
      <c r="H76" s="13" t="s">
        <v>50</v>
      </c>
      <c r="I76" s="10">
        <f>SUMIFS('base 1'!C:C,'base 1'!A:A,downtime!D76,'base 1'!B:B,H76)/60*J76</f>
        <v>102.5</v>
      </c>
      <c r="J76" s="2">
        <v>41</v>
      </c>
      <c r="K76" s="5" t="str">
        <f>VLOOKUP(L76,'base 1'!P:Q,2,0)</f>
        <v xml:space="preserve">CLEISYON </v>
      </c>
      <c r="L76" s="20" t="s">
        <v>252</v>
      </c>
      <c r="M76" s="20" t="s">
        <v>108</v>
      </c>
      <c r="N76" s="20" t="s">
        <v>169</v>
      </c>
    </row>
    <row r="77" spans="1:14" x14ac:dyDescent="0.3">
      <c r="A77" s="19">
        <v>46127</v>
      </c>
      <c r="B77" s="21" t="s">
        <v>86</v>
      </c>
      <c r="C77" s="4">
        <v>2</v>
      </c>
      <c r="D77" s="4">
        <v>3</v>
      </c>
      <c r="E77" s="5" t="str">
        <f t="array" ref="E77">IFERROR(INDEX('base 1'!$F$2:$F$31,MATCH(1, ('base 1'!$G$2:$G$31=D77)*('base 1'!$H$2:$H$31=C77),0)),"")</f>
        <v>MARLON SOUSA</v>
      </c>
      <c r="F77" s="31">
        <f>VLOOKUP(H77,'base 1'!K:L,2,0)</f>
        <v>74.489999999999995</v>
      </c>
      <c r="G77" s="31">
        <f t="shared" si="1"/>
        <v>2830.62</v>
      </c>
      <c r="H77" s="13" t="s">
        <v>144</v>
      </c>
      <c r="I77" s="10">
        <f>SUMIFS('base 1'!C:C,'base 1'!A:A,downtime!D77,'base 1'!B:B,H77)/60*J77</f>
        <v>38</v>
      </c>
      <c r="J77" s="2">
        <v>12</v>
      </c>
      <c r="K77" s="5" t="str">
        <f>VLOOKUP(L77,'base 1'!P:Q,2,0)</f>
        <v xml:space="preserve">JANDERSON </v>
      </c>
      <c r="L77" s="20" t="s">
        <v>0</v>
      </c>
      <c r="M77" s="20" t="s">
        <v>150</v>
      </c>
      <c r="N77" s="20" t="s">
        <v>170</v>
      </c>
    </row>
    <row r="78" spans="1:14" x14ac:dyDescent="0.3">
      <c r="A78" s="19">
        <v>46127</v>
      </c>
      <c r="B78" s="21" t="s">
        <v>45</v>
      </c>
      <c r="C78" s="4">
        <v>2</v>
      </c>
      <c r="D78" s="4">
        <v>3</v>
      </c>
      <c r="E78" s="5" t="str">
        <f t="array" ref="E78">IFERROR(INDEX('base 1'!$F$2:$F$31,MATCH(1, ('base 1'!$G$2:$G$31=D78)*('base 1'!$H$2:$H$31=C78),0)),"")</f>
        <v>MARLON SOUSA</v>
      </c>
      <c r="F78" s="31">
        <f>VLOOKUP(H78,'base 1'!K:L,2,0)</f>
        <v>74.489999999999995</v>
      </c>
      <c r="G78" s="31">
        <f t="shared" si="1"/>
        <v>9435.3999999999978</v>
      </c>
      <c r="H78" s="13" t="s">
        <v>144</v>
      </c>
      <c r="I78" s="10">
        <f>SUMIFS('base 1'!C:C,'base 1'!A:A,downtime!D78,'base 1'!B:B,H78)/60*J78</f>
        <v>126.66666666666666</v>
      </c>
      <c r="J78" s="2">
        <v>40</v>
      </c>
      <c r="K78" s="5" t="str">
        <f>VLOOKUP(L78,'base 1'!P:Q,2,0)</f>
        <v xml:space="preserve">JANDERSON </v>
      </c>
      <c r="L78" s="20" t="s">
        <v>0</v>
      </c>
      <c r="M78" s="20" t="s">
        <v>151</v>
      </c>
      <c r="N78" s="20" t="s">
        <v>171</v>
      </c>
    </row>
    <row r="79" spans="1:14" x14ac:dyDescent="0.3">
      <c r="A79" s="19">
        <v>46127</v>
      </c>
      <c r="B79" s="21" t="s">
        <v>16</v>
      </c>
      <c r="C79" s="4">
        <v>2</v>
      </c>
      <c r="D79" s="4">
        <v>3</v>
      </c>
      <c r="E79" s="5" t="str">
        <f t="array" ref="E79">IFERROR(INDEX('base 1'!$F$2:$F$31,MATCH(1, ('base 1'!$G$2:$G$31=D79)*('base 1'!$H$2:$H$31=C79),0)),"")</f>
        <v>MARLON SOUSA</v>
      </c>
      <c r="F79" s="31">
        <f>VLOOKUP(H79,'base 1'!K:L,2,0)</f>
        <v>74.489999999999995</v>
      </c>
      <c r="G79" s="31">
        <f t="shared" si="1"/>
        <v>4481.8149999999996</v>
      </c>
      <c r="H79" s="13" t="s">
        <v>144</v>
      </c>
      <c r="I79" s="10">
        <f>SUMIFS('base 1'!C:C,'base 1'!A:A,downtime!D79,'base 1'!B:B,H79)/60*J79</f>
        <v>60.166666666666664</v>
      </c>
      <c r="J79" s="2">
        <v>19</v>
      </c>
      <c r="K79" s="5" t="str">
        <f>VLOOKUP(L79,'base 1'!P:Q,2,0)</f>
        <v xml:space="preserve">JANDERSON </v>
      </c>
      <c r="L79" s="20" t="s">
        <v>0</v>
      </c>
      <c r="M79" s="20" t="s">
        <v>150</v>
      </c>
      <c r="N79" s="20" t="s">
        <v>172</v>
      </c>
    </row>
    <row r="80" spans="1:14" x14ac:dyDescent="0.3">
      <c r="A80" s="19">
        <v>46127</v>
      </c>
      <c r="B80" s="21" t="s">
        <v>45</v>
      </c>
      <c r="C80" s="4">
        <v>2</v>
      </c>
      <c r="D80" s="4">
        <v>5</v>
      </c>
      <c r="E80" s="5" t="str">
        <f t="array" ref="E80">IFERROR(INDEX('base 1'!$F$2:$F$31,MATCH(1, ('base 1'!$G$2:$G$31=D80)*('base 1'!$H$2:$H$31=C80),0)),"")</f>
        <v xml:space="preserve">JOYCE ANDRADE </v>
      </c>
      <c r="F80" s="31">
        <f>VLOOKUP(H80,'base 1'!K:L,2,0)</f>
        <v>122</v>
      </c>
      <c r="G80" s="31">
        <f t="shared" si="1"/>
        <v>7320</v>
      </c>
      <c r="H80" s="13" t="s">
        <v>11</v>
      </c>
      <c r="I80" s="10">
        <f>SUMIFS('base 1'!C:C,'base 1'!A:A,downtime!D80,'base 1'!B:B,H80)/60*J80</f>
        <v>60</v>
      </c>
      <c r="J80" s="2">
        <v>30</v>
      </c>
      <c r="K80" s="5" t="str">
        <f>VLOOKUP(L80,'base 1'!P:Q,2,0)</f>
        <v xml:space="preserve">JANDERSON </v>
      </c>
      <c r="L80" s="20" t="s">
        <v>0</v>
      </c>
      <c r="M80" s="20" t="s">
        <v>152</v>
      </c>
      <c r="N80" s="20" t="s">
        <v>173</v>
      </c>
    </row>
    <row r="81" spans="1:14" x14ac:dyDescent="0.3">
      <c r="A81" s="19">
        <v>46127</v>
      </c>
      <c r="B81" s="21" t="s">
        <v>16</v>
      </c>
      <c r="C81" s="4">
        <v>2</v>
      </c>
      <c r="D81" s="4">
        <v>5</v>
      </c>
      <c r="E81" s="5" t="str">
        <f t="array" ref="E81">IFERROR(INDEX('base 1'!$F$2:$F$31,MATCH(1, ('base 1'!$G$2:$G$31=D81)*('base 1'!$H$2:$H$31=C81),0)),"")</f>
        <v xml:space="preserve">JOYCE ANDRADE </v>
      </c>
      <c r="F81" s="31">
        <f>VLOOKUP(H81,'base 1'!K:L,2,0)</f>
        <v>122</v>
      </c>
      <c r="G81" s="31">
        <f t="shared" si="1"/>
        <v>1464</v>
      </c>
      <c r="H81" s="13" t="s">
        <v>11</v>
      </c>
      <c r="I81" s="10">
        <f>SUMIFS('base 1'!C:C,'base 1'!A:A,downtime!D81,'base 1'!B:B,H81)/60*J81</f>
        <v>12</v>
      </c>
      <c r="J81" s="2">
        <v>6</v>
      </c>
      <c r="K81" s="5" t="str">
        <f>VLOOKUP(L81,'base 1'!P:Q,2,0)</f>
        <v xml:space="preserve">JANDERSON </v>
      </c>
      <c r="L81" s="20" t="s">
        <v>0</v>
      </c>
      <c r="M81" s="20" t="s">
        <v>152</v>
      </c>
      <c r="N81" s="20" t="s">
        <v>173</v>
      </c>
    </row>
    <row r="82" spans="1:14" x14ac:dyDescent="0.3">
      <c r="A82" s="19">
        <v>46127</v>
      </c>
      <c r="B82" s="21" t="s">
        <v>89</v>
      </c>
      <c r="C82" s="4">
        <v>2</v>
      </c>
      <c r="D82" s="4">
        <v>5</v>
      </c>
      <c r="E82" s="5" t="str">
        <f t="array" ref="E82">IFERROR(INDEX('base 1'!$F$2:$F$31,MATCH(1, ('base 1'!$G$2:$G$31=D82)*('base 1'!$H$2:$H$31=C82),0)),"")</f>
        <v xml:space="preserve">JOYCE ANDRADE </v>
      </c>
      <c r="F82" s="31">
        <f>VLOOKUP(H82,'base 1'!K:L,2,0)</f>
        <v>122</v>
      </c>
      <c r="G82" s="31">
        <f t="shared" si="1"/>
        <v>4880</v>
      </c>
      <c r="H82" s="13" t="s">
        <v>11</v>
      </c>
      <c r="I82" s="10">
        <f>SUMIFS('base 1'!C:C,'base 1'!A:A,downtime!D82,'base 1'!B:B,H82)/60*J82</f>
        <v>40</v>
      </c>
      <c r="J82" s="2">
        <v>20</v>
      </c>
      <c r="K82" s="5" t="str">
        <f>VLOOKUP(L82,'base 1'!P:Q,2,0)</f>
        <v xml:space="preserve">JANDERSON </v>
      </c>
      <c r="L82" s="20" t="s">
        <v>0</v>
      </c>
      <c r="M82" s="20" t="s">
        <v>152</v>
      </c>
      <c r="N82" s="20" t="s">
        <v>173</v>
      </c>
    </row>
    <row r="83" spans="1:14" x14ac:dyDescent="0.3">
      <c r="A83" s="19">
        <v>46127</v>
      </c>
      <c r="B83" s="21" t="s">
        <v>88</v>
      </c>
      <c r="C83" s="4">
        <v>2</v>
      </c>
      <c r="D83" s="4">
        <v>7</v>
      </c>
      <c r="E83" s="5" t="str">
        <f t="array" ref="E83">IFERROR(INDEX('base 1'!$F$2:$F$31,MATCH(1, ('base 1'!$G$2:$G$31=D83)*('base 1'!$H$2:$H$31=C83),0)),"")</f>
        <v/>
      </c>
      <c r="F83" s="31">
        <f>VLOOKUP(H83,'base 1'!K:L,2,0)</f>
        <v>212.66</v>
      </c>
      <c r="G83" s="31">
        <f t="shared" si="1"/>
        <v>11483.64</v>
      </c>
      <c r="H83" s="13" t="s">
        <v>255</v>
      </c>
      <c r="I83" s="10">
        <f>SUMIFS('base 1'!C:C,'base 1'!A:A,downtime!D83,'base 1'!B:B,H83)/60*J83</f>
        <v>54</v>
      </c>
      <c r="J83" s="2">
        <v>45</v>
      </c>
      <c r="K83" s="5" t="str">
        <f>VLOOKUP(L83,'base 1'!P:Q,2,0)</f>
        <v xml:space="preserve">ROGERIO </v>
      </c>
      <c r="L83" s="20" t="s">
        <v>3</v>
      </c>
      <c r="M83" s="20" t="s">
        <v>106</v>
      </c>
      <c r="N83" s="20" t="s">
        <v>174</v>
      </c>
    </row>
    <row r="84" spans="1:14" x14ac:dyDescent="0.3">
      <c r="A84" s="19">
        <v>46127</v>
      </c>
      <c r="B84" s="21" t="s">
        <v>87</v>
      </c>
      <c r="C84" s="4">
        <v>2</v>
      </c>
      <c r="D84" s="4">
        <v>7</v>
      </c>
      <c r="E84" s="5" t="str">
        <f t="array" ref="E84">IFERROR(INDEX('base 1'!$F$2:$F$31,MATCH(1, ('base 1'!$G$2:$G$31=D84)*('base 1'!$H$2:$H$31=C84),0)),"")</f>
        <v/>
      </c>
      <c r="F84" s="31">
        <f>VLOOKUP(H84,'base 1'!K:L,2,0)</f>
        <v>212.66</v>
      </c>
      <c r="G84" s="31">
        <f t="shared" si="1"/>
        <v>7655.76</v>
      </c>
      <c r="H84" s="13" t="s">
        <v>255</v>
      </c>
      <c r="I84" s="10">
        <f>SUMIFS('base 1'!C:C,'base 1'!A:A,downtime!D84,'base 1'!B:B,H84)/60*J84</f>
        <v>36</v>
      </c>
      <c r="J84" s="2">
        <v>30</v>
      </c>
      <c r="K84" s="5" t="str">
        <f>VLOOKUP(L84,'base 1'!P:Q,2,0)</f>
        <v xml:space="preserve">ROGERIO </v>
      </c>
      <c r="L84" s="20" t="s">
        <v>3</v>
      </c>
      <c r="M84" s="20" t="s">
        <v>106</v>
      </c>
      <c r="N84" s="20" t="s">
        <v>175</v>
      </c>
    </row>
    <row r="85" spans="1:14" x14ac:dyDescent="0.3">
      <c r="A85" s="19">
        <v>46127</v>
      </c>
      <c r="B85" s="21" t="s">
        <v>45</v>
      </c>
      <c r="C85" s="4">
        <v>2</v>
      </c>
      <c r="D85" s="4">
        <v>7</v>
      </c>
      <c r="E85" s="5" t="str">
        <f t="array" ref="E85">IFERROR(INDEX('base 1'!$F$2:$F$31,MATCH(1, ('base 1'!$G$2:$G$31=D85)*('base 1'!$H$2:$H$31=C85),0)),"")</f>
        <v/>
      </c>
      <c r="F85" s="31">
        <f>VLOOKUP(H85,'base 1'!K:L,2,0)</f>
        <v>212.66</v>
      </c>
      <c r="G85" s="31">
        <f t="shared" si="1"/>
        <v>7655.76</v>
      </c>
      <c r="H85" s="13" t="s">
        <v>255</v>
      </c>
      <c r="I85" s="10">
        <f>SUMIFS('base 1'!C:C,'base 1'!A:A,downtime!D85,'base 1'!B:B,H85)/60*J85</f>
        <v>36</v>
      </c>
      <c r="J85" s="2">
        <v>30</v>
      </c>
      <c r="K85" s="5" t="str">
        <f>VLOOKUP(L85,'base 1'!P:Q,2,0)</f>
        <v xml:space="preserve">ROGERIO </v>
      </c>
      <c r="L85" s="20" t="s">
        <v>3</v>
      </c>
      <c r="M85" s="20" t="s">
        <v>106</v>
      </c>
      <c r="N85" s="20" t="s">
        <v>175</v>
      </c>
    </row>
    <row r="86" spans="1:14" x14ac:dyDescent="0.3">
      <c r="A86" s="19">
        <v>46127</v>
      </c>
      <c r="B86" s="21" t="s">
        <v>16</v>
      </c>
      <c r="C86" s="4">
        <v>2</v>
      </c>
      <c r="D86" s="4">
        <v>7</v>
      </c>
      <c r="E86" s="5" t="str">
        <f t="array" ref="E86">IFERROR(INDEX('base 1'!$F$2:$F$31,MATCH(1, ('base 1'!$G$2:$G$31=D86)*('base 1'!$H$2:$H$31=C86),0)),"")</f>
        <v/>
      </c>
      <c r="F86" s="31">
        <f>VLOOKUP(H86,'base 1'!K:L,2,0)</f>
        <v>212.66</v>
      </c>
      <c r="G86" s="31">
        <f t="shared" si="1"/>
        <v>2551.92</v>
      </c>
      <c r="H86" s="13" t="s">
        <v>255</v>
      </c>
      <c r="I86" s="10">
        <f>SUMIFS('base 1'!C:C,'base 1'!A:A,downtime!D86,'base 1'!B:B,H86)/60*J86</f>
        <v>12</v>
      </c>
      <c r="J86" s="2">
        <v>10</v>
      </c>
      <c r="K86" s="5" t="str">
        <f>VLOOKUP(L86,'base 1'!P:Q,2,0)</f>
        <v xml:space="preserve">ROGERIO </v>
      </c>
      <c r="L86" s="20" t="s">
        <v>3</v>
      </c>
      <c r="M86" s="20" t="s">
        <v>106</v>
      </c>
      <c r="N86" s="20" t="s">
        <v>176</v>
      </c>
    </row>
    <row r="87" spans="1:14" x14ac:dyDescent="0.3">
      <c r="A87" s="19">
        <v>46127</v>
      </c>
      <c r="B87" s="21" t="s">
        <v>88</v>
      </c>
      <c r="C87" s="4">
        <v>2</v>
      </c>
      <c r="D87" s="4">
        <v>8</v>
      </c>
      <c r="E87" s="5" t="str">
        <f t="array" ref="E87">IFERROR(INDEX('base 1'!$F$2:$F$31,MATCH(1, ('base 1'!$G$2:$G$31=D87)*('base 1'!$H$2:$H$31=C87),0)),"")</f>
        <v xml:space="preserve">	KAYVE SANTOS</v>
      </c>
      <c r="F87" s="31">
        <f>VLOOKUP(H87,'base 1'!K:L,2,0)</f>
        <v>280</v>
      </c>
      <c r="G87" s="31">
        <f t="shared" si="1"/>
        <v>33600</v>
      </c>
      <c r="H87" s="13" t="s">
        <v>13</v>
      </c>
      <c r="I87" s="10">
        <f>SUMIFS('base 1'!C:C,'base 1'!A:A,downtime!D87,'base 1'!B:B,H87)/60*J87</f>
        <v>120</v>
      </c>
      <c r="J87" s="2">
        <v>45</v>
      </c>
      <c r="K87" s="5" t="str">
        <f>VLOOKUP(L87,'base 1'!P:Q,2,0)</f>
        <v xml:space="preserve">ROGERIO </v>
      </c>
      <c r="L87" s="20" t="s">
        <v>3</v>
      </c>
      <c r="M87" s="20" t="s">
        <v>153</v>
      </c>
      <c r="N87" s="20" t="s">
        <v>177</v>
      </c>
    </row>
    <row r="88" spans="1:14" x14ac:dyDescent="0.3">
      <c r="A88" s="19">
        <v>46127</v>
      </c>
      <c r="B88" s="21" t="s">
        <v>86</v>
      </c>
      <c r="C88" s="4">
        <v>2</v>
      </c>
      <c r="D88" s="4">
        <v>8</v>
      </c>
      <c r="E88" s="5" t="str">
        <f t="array" ref="E88">IFERROR(INDEX('base 1'!$F$2:$F$31,MATCH(1, ('base 1'!$G$2:$G$31=D88)*('base 1'!$H$2:$H$31=C88),0)),"")</f>
        <v xml:space="preserve">	KAYVE SANTOS</v>
      </c>
      <c r="F88" s="31">
        <f>VLOOKUP(H88,'base 1'!K:L,2,0)</f>
        <v>280</v>
      </c>
      <c r="G88" s="31">
        <f t="shared" si="1"/>
        <v>44800</v>
      </c>
      <c r="H88" s="13" t="s">
        <v>13</v>
      </c>
      <c r="I88" s="10">
        <f>SUMIFS('base 1'!C:C,'base 1'!A:A,downtime!D88,'base 1'!B:B,H88)/60*J88</f>
        <v>160</v>
      </c>
      <c r="J88" s="2">
        <v>60</v>
      </c>
      <c r="K88" s="5" t="str">
        <f>VLOOKUP(L88,'base 1'!P:Q,2,0)</f>
        <v xml:space="preserve">ROGERIO </v>
      </c>
      <c r="L88" s="20" t="s">
        <v>3</v>
      </c>
      <c r="M88" s="20" t="s">
        <v>153</v>
      </c>
      <c r="N88" s="20" t="s">
        <v>177</v>
      </c>
    </row>
    <row r="89" spans="1:14" x14ac:dyDescent="0.3">
      <c r="A89" s="19">
        <v>46127</v>
      </c>
      <c r="B89" s="21" t="s">
        <v>16</v>
      </c>
      <c r="C89" s="4">
        <v>2</v>
      </c>
      <c r="D89" s="4">
        <v>9</v>
      </c>
      <c r="E89" s="5" t="str">
        <f t="array" ref="E89">IFERROR(INDEX('base 1'!$F$2:$F$31,MATCH(1, ('base 1'!$G$2:$G$31=D89)*('base 1'!$H$2:$H$31=C89),0)),"")</f>
        <v>DANIEL FEITOZA</v>
      </c>
      <c r="F89" s="31">
        <f>VLOOKUP(H89,'base 1'!K:L,2,0)</f>
        <v>93</v>
      </c>
      <c r="G89" s="31">
        <f t="shared" si="1"/>
        <v>4882.5</v>
      </c>
      <c r="H89" s="13" t="s">
        <v>50</v>
      </c>
      <c r="I89" s="10">
        <f>SUMIFS('base 1'!C:C,'base 1'!A:A,downtime!D89,'base 1'!B:B,H89)/60*J89</f>
        <v>52.5</v>
      </c>
      <c r="J89" s="2">
        <v>21</v>
      </c>
      <c r="K89" s="5" t="str">
        <f>VLOOKUP(L89,'base 1'!P:Q,2,0)</f>
        <v xml:space="preserve">ROGERIO </v>
      </c>
      <c r="L89" s="20" t="s">
        <v>3</v>
      </c>
      <c r="M89" s="20" t="s">
        <v>49</v>
      </c>
      <c r="N89" s="20" t="s">
        <v>178</v>
      </c>
    </row>
    <row r="90" spans="1:14" x14ac:dyDescent="0.3">
      <c r="A90" s="19">
        <v>46127</v>
      </c>
      <c r="B90" s="21" t="s">
        <v>45</v>
      </c>
      <c r="C90" s="4">
        <v>2</v>
      </c>
      <c r="D90" s="4">
        <v>9</v>
      </c>
      <c r="E90" s="5" t="str">
        <f t="array" ref="E90">IFERROR(INDEX('base 1'!$F$2:$F$31,MATCH(1, ('base 1'!$G$2:$G$31=D90)*('base 1'!$H$2:$H$31=C90),0)),"")</f>
        <v>DANIEL FEITOZA</v>
      </c>
      <c r="F90" s="31">
        <f>VLOOKUP(H90,'base 1'!K:L,2,0)</f>
        <v>93</v>
      </c>
      <c r="G90" s="31">
        <f t="shared" si="1"/>
        <v>4185</v>
      </c>
      <c r="H90" s="13" t="s">
        <v>50</v>
      </c>
      <c r="I90" s="10">
        <f>SUMIFS('base 1'!C:C,'base 1'!A:A,downtime!D90,'base 1'!B:B,H90)/60*J90</f>
        <v>45</v>
      </c>
      <c r="J90" s="2">
        <v>18</v>
      </c>
      <c r="K90" s="5" t="str">
        <f>VLOOKUP(L90,'base 1'!P:Q,2,0)</f>
        <v xml:space="preserve">ROGERIO </v>
      </c>
      <c r="L90" s="20" t="s">
        <v>3</v>
      </c>
      <c r="M90" s="20" t="s">
        <v>49</v>
      </c>
      <c r="N90" s="20" t="s">
        <v>179</v>
      </c>
    </row>
    <row r="91" spans="1:14" x14ac:dyDescent="0.3">
      <c r="A91" s="19">
        <v>46127</v>
      </c>
      <c r="B91" s="21" t="s">
        <v>17</v>
      </c>
      <c r="C91" s="4">
        <v>3</v>
      </c>
      <c r="D91" s="4">
        <v>4</v>
      </c>
      <c r="E91" s="5" t="str">
        <f t="array" ref="E91">IFERROR(INDEX('base 1'!$F$2:$F$31,MATCH(1, ('base 1'!$G$2:$G$31=D91)*('base 1'!$H$2:$H$31=C91),0)),"")</f>
        <v>CAMILA PEREIRA</v>
      </c>
      <c r="F91" s="31">
        <f>VLOOKUP(H91,'base 1'!K:L,2,0)</f>
        <v>44.57</v>
      </c>
      <c r="G91" s="31">
        <f t="shared" si="1"/>
        <v>2733.626666666667</v>
      </c>
      <c r="H91" s="13" t="s">
        <v>10</v>
      </c>
      <c r="I91" s="10">
        <f>SUMIFS('base 1'!C:C,'base 1'!A:A,downtime!D91,'base 1'!B:B,H91)/60*J91</f>
        <v>61.333333333333336</v>
      </c>
      <c r="J91" s="2">
        <v>10</v>
      </c>
      <c r="K91" s="5" t="str">
        <f>VLOOKUP(L91,'base 1'!P:Q,2,0)</f>
        <v xml:space="preserve">RODRIGO </v>
      </c>
      <c r="L91" s="20" t="s">
        <v>9</v>
      </c>
      <c r="M91" s="20" t="s">
        <v>105</v>
      </c>
      <c r="N91" s="20" t="s">
        <v>180</v>
      </c>
    </row>
    <row r="92" spans="1:14" x14ac:dyDescent="0.3">
      <c r="A92" s="19">
        <v>46127</v>
      </c>
      <c r="B92" s="21" t="s">
        <v>20</v>
      </c>
      <c r="C92" s="4">
        <v>3</v>
      </c>
      <c r="D92" s="4">
        <v>5</v>
      </c>
      <c r="E92" s="5" t="str">
        <f t="array" ref="E92">IFERROR(INDEX('base 1'!$F$2:$F$31,MATCH(1, ('base 1'!$G$2:$G$31=D92)*('base 1'!$H$2:$H$31=C92),0)),"")</f>
        <v>BRUNO GOMES</v>
      </c>
      <c r="F92" s="31">
        <f>VLOOKUP(H92,'base 1'!K:L,2,0)</f>
        <v>122</v>
      </c>
      <c r="G92" s="31">
        <f t="shared" si="1"/>
        <v>5856</v>
      </c>
      <c r="H92" s="13" t="s">
        <v>11</v>
      </c>
      <c r="I92" s="10">
        <f>SUMIFS('base 1'!C:C,'base 1'!A:A,downtime!D92,'base 1'!B:B,H92)/60*J92</f>
        <v>48</v>
      </c>
      <c r="J92" s="2">
        <v>24</v>
      </c>
      <c r="K92" s="5" t="str">
        <f>VLOOKUP(L92,'base 1'!P:Q,2,0)</f>
        <v xml:space="preserve">JANDERSON </v>
      </c>
      <c r="L92" s="20" t="s">
        <v>0</v>
      </c>
      <c r="M92" s="20" t="s">
        <v>152</v>
      </c>
      <c r="N92" s="20" t="s">
        <v>181</v>
      </c>
    </row>
    <row r="93" spans="1:14" x14ac:dyDescent="0.3">
      <c r="A93" s="19">
        <v>46127</v>
      </c>
      <c r="B93" s="21" t="s">
        <v>18</v>
      </c>
      <c r="C93" s="4">
        <v>3</v>
      </c>
      <c r="D93" s="4">
        <v>9</v>
      </c>
      <c r="E93" s="5" t="str">
        <f t="array" ref="E93">IFERROR(INDEX('base 1'!$F$2:$F$31,MATCH(1, ('base 1'!$G$2:$G$31=D93)*('base 1'!$H$2:$H$31=C93),0)),"")</f>
        <v xml:space="preserve">	GISELE PINHEIRO</v>
      </c>
      <c r="F93" s="31">
        <f>VLOOKUP(H93,'base 1'!K:L,2,0)</f>
        <v>105</v>
      </c>
      <c r="G93" s="31">
        <f t="shared" si="1"/>
        <v>1837.5</v>
      </c>
      <c r="H93" s="13" t="s">
        <v>1</v>
      </c>
      <c r="I93" s="10">
        <f>SUMIFS('base 1'!C:C,'base 1'!A:A,downtime!D93,'base 1'!B:B,H93)/60*J93</f>
        <v>17.5</v>
      </c>
      <c r="J93" s="2">
        <v>7</v>
      </c>
      <c r="K93" s="5" t="str">
        <f>VLOOKUP(L93,'base 1'!P:Q,2,0)</f>
        <v xml:space="preserve">ROGERIO </v>
      </c>
      <c r="L93" s="20" t="s">
        <v>3</v>
      </c>
      <c r="M93" s="20" t="s">
        <v>49</v>
      </c>
      <c r="N93" s="20" t="s">
        <v>182</v>
      </c>
    </row>
    <row r="94" spans="1:14" x14ac:dyDescent="0.3">
      <c r="A94" s="19">
        <v>46127</v>
      </c>
      <c r="B94" s="21" t="s">
        <v>4</v>
      </c>
      <c r="C94" s="4">
        <v>3</v>
      </c>
      <c r="D94" s="4">
        <v>9</v>
      </c>
      <c r="E94" s="5" t="str">
        <f t="array" ref="E94">IFERROR(INDEX('base 1'!$F$2:$F$31,MATCH(1, ('base 1'!$G$2:$G$31=D94)*('base 1'!$H$2:$H$31=C94),0)),"")</f>
        <v xml:space="preserve">	GISELE PINHEIRO</v>
      </c>
      <c r="F94" s="31">
        <f>VLOOKUP(H94,'base 1'!K:L,2,0)</f>
        <v>105</v>
      </c>
      <c r="G94" s="31">
        <f t="shared" si="1"/>
        <v>10762.5</v>
      </c>
      <c r="H94" s="13" t="s">
        <v>1</v>
      </c>
      <c r="I94" s="10">
        <f>SUMIFS('base 1'!C:C,'base 1'!A:A,downtime!D94,'base 1'!B:B,H94)/60*J94</f>
        <v>102.5</v>
      </c>
      <c r="J94" s="2">
        <v>41</v>
      </c>
      <c r="K94" s="5" t="str">
        <f>VLOOKUP(L94,'base 1'!P:Q,2,0)</f>
        <v xml:space="preserve">ROGERIO </v>
      </c>
      <c r="L94" s="20" t="s">
        <v>3</v>
      </c>
      <c r="M94" s="20" t="s">
        <v>154</v>
      </c>
      <c r="N94" s="20" t="s">
        <v>183</v>
      </c>
    </row>
    <row r="95" spans="1:14" x14ac:dyDescent="0.3">
      <c r="A95" s="19">
        <v>46127</v>
      </c>
      <c r="B95" s="21" t="s">
        <v>19</v>
      </c>
      <c r="C95" s="4">
        <v>3</v>
      </c>
      <c r="D95" s="4">
        <v>9</v>
      </c>
      <c r="E95" s="5" t="str">
        <f t="array" ref="E95">IFERROR(INDEX('base 1'!$F$2:$F$31,MATCH(1, ('base 1'!$G$2:$G$31=D95)*('base 1'!$H$2:$H$31=C95),0)),"")</f>
        <v xml:space="preserve">	GISELE PINHEIRO</v>
      </c>
      <c r="F95" s="31">
        <f>VLOOKUP(H95,'base 1'!K:L,2,0)</f>
        <v>105</v>
      </c>
      <c r="G95" s="31">
        <f t="shared" si="1"/>
        <v>7350</v>
      </c>
      <c r="H95" s="13" t="s">
        <v>1</v>
      </c>
      <c r="I95" s="10">
        <f>SUMIFS('base 1'!C:C,'base 1'!A:A,downtime!D95,'base 1'!B:B,H95)/60*J95</f>
        <v>70</v>
      </c>
      <c r="J95" s="2">
        <v>28</v>
      </c>
      <c r="K95" s="5" t="str">
        <f>VLOOKUP(L95,'base 1'!P:Q,2,0)</f>
        <v xml:space="preserve">ROGERIO </v>
      </c>
      <c r="L95" s="20" t="s">
        <v>3</v>
      </c>
      <c r="M95" s="20" t="s">
        <v>154</v>
      </c>
      <c r="N95" s="20" t="s">
        <v>183</v>
      </c>
    </row>
    <row r="96" spans="1:14" x14ac:dyDescent="0.3">
      <c r="A96" s="19">
        <v>46127</v>
      </c>
      <c r="B96" s="21" t="s">
        <v>4</v>
      </c>
      <c r="C96" s="4">
        <v>1</v>
      </c>
      <c r="D96" s="4">
        <v>7</v>
      </c>
      <c r="E96" s="5" t="str">
        <f t="array" ref="E96">IFERROR(INDEX('base 1'!$F$2:$F$31,MATCH(1, ('base 1'!$G$2:$G$31=D96)*('base 1'!$H$2:$H$31=C96),0)),"")</f>
        <v>CAMILA SILVA</v>
      </c>
      <c r="F96" s="31">
        <f>VLOOKUP(H96,'base 1'!K:L,2,0)</f>
        <v>212.66</v>
      </c>
      <c r="G96" s="31">
        <f t="shared" si="1"/>
        <v>2551.92</v>
      </c>
      <c r="H96" s="13" t="s">
        <v>255</v>
      </c>
      <c r="I96" s="10">
        <f>SUMIFS('base 1'!C:C,'base 1'!A:A,downtime!D96,'base 1'!B:B,H96)/60*J96</f>
        <v>12</v>
      </c>
      <c r="J96" s="2">
        <v>10</v>
      </c>
      <c r="K96" s="5" t="str">
        <f>VLOOKUP(L96,'base 1'!P:Q,2,0)</f>
        <v xml:space="preserve">JANDERSON </v>
      </c>
      <c r="L96" s="20" t="s">
        <v>102</v>
      </c>
      <c r="M96" s="20" t="s">
        <v>155</v>
      </c>
      <c r="N96" s="20" t="s">
        <v>184</v>
      </c>
    </row>
    <row r="97" spans="1:14" x14ac:dyDescent="0.3">
      <c r="A97" s="19">
        <v>46127</v>
      </c>
      <c r="B97" s="21" t="s">
        <v>8</v>
      </c>
      <c r="C97" s="4">
        <v>1</v>
      </c>
      <c r="D97" s="4">
        <v>7</v>
      </c>
      <c r="E97" s="5" t="str">
        <f t="array" ref="E97">IFERROR(INDEX('base 1'!$F$2:$F$31,MATCH(1, ('base 1'!$G$2:$G$31=D97)*('base 1'!$H$2:$H$31=C97),0)),"")</f>
        <v>CAMILA SILVA</v>
      </c>
      <c r="F97" s="31">
        <f>VLOOKUP(H97,'base 1'!K:L,2,0)</f>
        <v>212.66</v>
      </c>
      <c r="G97" s="31">
        <f t="shared" si="1"/>
        <v>2551.92</v>
      </c>
      <c r="H97" s="13" t="s">
        <v>255</v>
      </c>
      <c r="I97" s="10">
        <f>SUMIFS('base 1'!C:C,'base 1'!A:A,downtime!D97,'base 1'!B:B,H97)/60*J97</f>
        <v>12</v>
      </c>
      <c r="J97" s="2">
        <v>10</v>
      </c>
      <c r="K97" s="5" t="str">
        <f>VLOOKUP(L97,'base 1'!P:Q,2,0)</f>
        <v xml:space="preserve">JANDERSON </v>
      </c>
      <c r="L97" s="20" t="s">
        <v>102</v>
      </c>
      <c r="M97" s="20" t="s">
        <v>155</v>
      </c>
      <c r="N97" s="20" t="s">
        <v>184</v>
      </c>
    </row>
    <row r="98" spans="1:14" x14ac:dyDescent="0.3">
      <c r="A98" s="19">
        <v>46127</v>
      </c>
      <c r="B98" s="21" t="s">
        <v>143</v>
      </c>
      <c r="C98" s="4">
        <v>1</v>
      </c>
      <c r="D98" s="4">
        <v>7</v>
      </c>
      <c r="E98" s="5" t="str">
        <f t="array" ref="E98">IFERROR(INDEX('base 1'!$F$2:$F$31,MATCH(1, ('base 1'!$G$2:$G$31=D98)*('base 1'!$H$2:$H$31=C98),0)),"")</f>
        <v>CAMILA SILVA</v>
      </c>
      <c r="F98" s="31">
        <f>VLOOKUP(H98,'base 1'!K:L,2,0)</f>
        <v>212.66</v>
      </c>
      <c r="G98" s="31">
        <f t="shared" si="1"/>
        <v>2551.92</v>
      </c>
      <c r="H98" s="13" t="s">
        <v>255</v>
      </c>
      <c r="I98" s="10">
        <f>SUMIFS('base 1'!C:C,'base 1'!A:A,downtime!D98,'base 1'!B:B,H98)/60*J98</f>
        <v>12</v>
      </c>
      <c r="J98" s="2">
        <v>10</v>
      </c>
      <c r="K98" s="5" t="str">
        <f>VLOOKUP(L98,'base 1'!P:Q,2,0)</f>
        <v xml:space="preserve">JANDERSON </v>
      </c>
      <c r="L98" s="20" t="s">
        <v>102</v>
      </c>
      <c r="M98" s="20" t="s">
        <v>155</v>
      </c>
      <c r="N98" s="20" t="s">
        <v>184</v>
      </c>
    </row>
    <row r="99" spans="1:14" x14ac:dyDescent="0.3">
      <c r="A99" s="19">
        <v>46128</v>
      </c>
      <c r="B99" s="21" t="s">
        <v>4</v>
      </c>
      <c r="C99" s="2">
        <v>1</v>
      </c>
      <c r="D99" s="2">
        <v>5</v>
      </c>
      <c r="E99" s="5" t="str">
        <f t="array" ref="E99">IFERROR(INDEX('base 1'!$F$2:$F$31,MATCH(1, ('base 1'!$G$2:$G$31=D99)*('base 1'!$H$2:$H$31=C99),0)),"")</f>
        <v>GLEYCIANE LIMA</v>
      </c>
      <c r="F99" s="31">
        <f>VLOOKUP(H99,'base 1'!K:L,2,0)</f>
        <v>122</v>
      </c>
      <c r="G99" s="31">
        <f t="shared" si="1"/>
        <v>1220</v>
      </c>
      <c r="H99" s="9" t="s">
        <v>11</v>
      </c>
      <c r="I99" s="10">
        <f>SUMIFS('base 1'!C:C,'base 1'!A:A,downtime!D99,'base 1'!B:B,H99)/60*J99</f>
        <v>10</v>
      </c>
      <c r="J99" s="2">
        <v>5</v>
      </c>
      <c r="K99" s="5" t="str">
        <f>VLOOKUP(L99,'base 1'!P:Q,2,0)</f>
        <v xml:space="preserve">RODRIGO </v>
      </c>
      <c r="L99" s="20" t="s">
        <v>9</v>
      </c>
      <c r="M99" s="20" t="s">
        <v>105</v>
      </c>
      <c r="N99" s="20" t="s">
        <v>194</v>
      </c>
    </row>
    <row r="100" spans="1:14" x14ac:dyDescent="0.3">
      <c r="A100" s="19">
        <v>46128</v>
      </c>
      <c r="B100" s="21" t="s">
        <v>2</v>
      </c>
      <c r="C100" s="2">
        <v>1</v>
      </c>
      <c r="D100" s="2">
        <v>8</v>
      </c>
      <c r="E100" s="5" t="str">
        <f t="array" ref="E100">IFERROR(INDEX('base 1'!$F$2:$F$31,MATCH(1, ('base 1'!$G$2:$G$31=D100)*('base 1'!$H$2:$H$31=C100),0)),"")</f>
        <v>JESSILANE DA COSTA</v>
      </c>
      <c r="F100" s="31">
        <f>VLOOKUP(H100,'base 1'!K:L,2,0)</f>
        <v>280</v>
      </c>
      <c r="G100" s="31">
        <f t="shared" si="1"/>
        <v>19413.333333333332</v>
      </c>
      <c r="H100" s="9" t="s">
        <v>13</v>
      </c>
      <c r="I100" s="10">
        <f>SUMIFS('base 1'!C:C,'base 1'!A:A,downtime!D100,'base 1'!B:B,H100)/60*J100</f>
        <v>69.333333333333329</v>
      </c>
      <c r="J100" s="2">
        <v>26</v>
      </c>
      <c r="K100" s="5" t="str">
        <f>VLOOKUP(L100,'base 1'!P:Q,2,0)</f>
        <v xml:space="preserve">ROGERIO </v>
      </c>
      <c r="L100" s="20" t="s">
        <v>3</v>
      </c>
      <c r="M100" s="20" t="s">
        <v>153</v>
      </c>
      <c r="N100" s="20" t="s">
        <v>195</v>
      </c>
    </row>
    <row r="101" spans="1:14" x14ac:dyDescent="0.3">
      <c r="A101" s="19">
        <v>46128</v>
      </c>
      <c r="B101" s="21" t="s">
        <v>143</v>
      </c>
      <c r="C101" s="2">
        <v>1</v>
      </c>
      <c r="D101" s="2">
        <v>8</v>
      </c>
      <c r="E101" s="5" t="str">
        <f t="array" ref="E101">IFERROR(INDEX('base 1'!$F$2:$F$31,MATCH(1, ('base 1'!$G$2:$G$31=D101)*('base 1'!$H$2:$H$31=C101),0)),"")</f>
        <v>JESSILANE DA COSTA</v>
      </c>
      <c r="F101" s="31">
        <f>VLOOKUP(H101,'base 1'!K:L,2,0)</f>
        <v>280</v>
      </c>
      <c r="G101" s="31">
        <f t="shared" si="1"/>
        <v>26133.333333333332</v>
      </c>
      <c r="H101" s="9" t="s">
        <v>13</v>
      </c>
      <c r="I101" s="10">
        <f>SUMIFS('base 1'!C:C,'base 1'!A:A,downtime!D101,'base 1'!B:B,H101)/60*J101</f>
        <v>93.333333333333329</v>
      </c>
      <c r="J101" s="2">
        <v>35</v>
      </c>
      <c r="K101" s="5" t="str">
        <f>VLOOKUP(L101,'base 1'!P:Q,2,0)</f>
        <v xml:space="preserve">ROGERIO </v>
      </c>
      <c r="L101" s="20" t="s">
        <v>3</v>
      </c>
      <c r="M101" s="20" t="s">
        <v>153</v>
      </c>
      <c r="N101" s="20" t="s">
        <v>195</v>
      </c>
    </row>
    <row r="102" spans="1:14" x14ac:dyDescent="0.3">
      <c r="A102" s="19">
        <v>46128</v>
      </c>
      <c r="B102" s="21" t="s">
        <v>5</v>
      </c>
      <c r="C102" s="2">
        <v>1</v>
      </c>
      <c r="D102" s="2">
        <v>8</v>
      </c>
      <c r="E102" s="5" t="str">
        <f t="array" ref="E102">IFERROR(INDEX('base 1'!$F$2:$F$31,MATCH(1, ('base 1'!$G$2:$G$31=D102)*('base 1'!$H$2:$H$31=C102),0)),"")</f>
        <v>JESSILANE DA COSTA</v>
      </c>
      <c r="F102" s="31">
        <f>VLOOKUP(H102,'base 1'!K:L,2,0)</f>
        <v>280</v>
      </c>
      <c r="G102" s="31">
        <f t="shared" si="1"/>
        <v>29866.666666666664</v>
      </c>
      <c r="H102" s="9" t="s">
        <v>13</v>
      </c>
      <c r="I102" s="10">
        <f>SUMIFS('base 1'!C:C,'base 1'!A:A,downtime!D102,'base 1'!B:B,H102)/60*J102</f>
        <v>106.66666666666666</v>
      </c>
      <c r="J102" s="2">
        <v>40</v>
      </c>
      <c r="K102" s="5" t="str">
        <f>VLOOKUP(L102,'base 1'!P:Q,2,0)</f>
        <v xml:space="preserve">ROGERIO </v>
      </c>
      <c r="L102" s="20" t="s">
        <v>3</v>
      </c>
      <c r="M102" s="20" t="s">
        <v>153</v>
      </c>
      <c r="N102" s="20" t="s">
        <v>195</v>
      </c>
    </row>
    <row r="103" spans="1:14" x14ac:dyDescent="0.3">
      <c r="A103" s="19">
        <v>46128</v>
      </c>
      <c r="B103" s="21" t="s">
        <v>44</v>
      </c>
      <c r="C103" s="2">
        <v>1</v>
      </c>
      <c r="D103" s="2">
        <v>8</v>
      </c>
      <c r="E103" s="5" t="str">
        <f t="array" ref="E103">IFERROR(INDEX('base 1'!$F$2:$F$31,MATCH(1, ('base 1'!$G$2:$G$31=D103)*('base 1'!$H$2:$H$31=C103),0)),"")</f>
        <v>JESSILANE DA COSTA</v>
      </c>
      <c r="F103" s="31">
        <f>VLOOKUP(H103,'base 1'!K:L,2,0)</f>
        <v>280</v>
      </c>
      <c r="G103" s="31">
        <f t="shared" si="1"/>
        <v>28373.333333333332</v>
      </c>
      <c r="H103" s="9" t="s">
        <v>13</v>
      </c>
      <c r="I103" s="10">
        <f>SUMIFS('base 1'!C:C,'base 1'!A:A,downtime!D103,'base 1'!B:B,H103)/60*J103</f>
        <v>101.33333333333333</v>
      </c>
      <c r="J103" s="2">
        <v>38</v>
      </c>
      <c r="K103" s="5" t="str">
        <f>VLOOKUP(L103,'base 1'!P:Q,2,0)</f>
        <v xml:space="preserve">ROGERIO </v>
      </c>
      <c r="L103" s="20" t="s">
        <v>3</v>
      </c>
      <c r="M103" s="20" t="s">
        <v>153</v>
      </c>
      <c r="N103" s="20" t="s">
        <v>195</v>
      </c>
    </row>
    <row r="104" spans="1:14" x14ac:dyDescent="0.3">
      <c r="A104" s="19">
        <v>46128</v>
      </c>
      <c r="B104" s="21" t="s">
        <v>185</v>
      </c>
      <c r="C104" s="2">
        <v>1</v>
      </c>
      <c r="D104" s="2">
        <v>8</v>
      </c>
      <c r="E104" s="5" t="str">
        <f t="array" ref="E104">IFERROR(INDEX('base 1'!$F$2:$F$31,MATCH(1, ('base 1'!$G$2:$G$31=D104)*('base 1'!$H$2:$H$31=C104),0)),"")</f>
        <v>JESSILANE DA COSTA</v>
      </c>
      <c r="F104" s="31">
        <f>VLOOKUP(H104,'base 1'!K:L,2,0)</f>
        <v>280</v>
      </c>
      <c r="G104" s="31">
        <f t="shared" si="1"/>
        <v>11200</v>
      </c>
      <c r="H104" s="9" t="s">
        <v>13</v>
      </c>
      <c r="I104" s="10">
        <f>SUMIFS('base 1'!C:C,'base 1'!A:A,downtime!D104,'base 1'!B:B,H104)/60*J104</f>
        <v>40</v>
      </c>
      <c r="J104" s="2">
        <v>15</v>
      </c>
      <c r="K104" s="5" t="str">
        <f>VLOOKUP(L104,'base 1'!P:Q,2,0)</f>
        <v xml:space="preserve">ROGERIO </v>
      </c>
      <c r="L104" s="20" t="s">
        <v>3</v>
      </c>
      <c r="M104" s="20" t="s">
        <v>153</v>
      </c>
      <c r="N104" s="20" t="s">
        <v>195</v>
      </c>
    </row>
    <row r="105" spans="1:14" x14ac:dyDescent="0.3">
      <c r="A105" s="19">
        <v>46128</v>
      </c>
      <c r="B105" s="21" t="s">
        <v>5</v>
      </c>
      <c r="C105" s="2">
        <v>1</v>
      </c>
      <c r="D105" s="2">
        <v>9</v>
      </c>
      <c r="E105" s="5" t="str">
        <f t="array" ref="E105">IFERROR(INDEX('base 1'!$F$2:$F$31,MATCH(1, ('base 1'!$G$2:$G$31=D105)*('base 1'!$H$2:$H$31=C105),0)),"")</f>
        <v>VICTOR RAFAEL</v>
      </c>
      <c r="F105" s="31">
        <f>VLOOKUP(H105,'base 1'!K:L,2,0)</f>
        <v>105</v>
      </c>
      <c r="G105" s="31">
        <f t="shared" si="1"/>
        <v>8137.5</v>
      </c>
      <c r="H105" s="9" t="s">
        <v>1</v>
      </c>
      <c r="I105" s="10">
        <f>SUMIFS('base 1'!C:C,'base 1'!A:A,downtime!D105,'base 1'!B:B,H105)/60*J105</f>
        <v>77.5</v>
      </c>
      <c r="J105" s="2">
        <v>31</v>
      </c>
      <c r="K105" s="5" t="str">
        <f>VLOOKUP(L105,'base 1'!P:Q,2,0)</f>
        <v xml:space="preserve">CLEISYON </v>
      </c>
      <c r="L105" s="20" t="s">
        <v>252</v>
      </c>
      <c r="M105" s="20" t="s">
        <v>98</v>
      </c>
      <c r="N105" s="20" t="s">
        <v>196</v>
      </c>
    </row>
    <row r="106" spans="1:14" x14ac:dyDescent="0.3">
      <c r="A106" s="19">
        <v>46128</v>
      </c>
      <c r="B106" s="21" t="s">
        <v>8</v>
      </c>
      <c r="C106" s="2">
        <v>1</v>
      </c>
      <c r="D106" s="2">
        <v>9</v>
      </c>
      <c r="E106" s="5" t="str">
        <f t="array" ref="E106">IFERROR(INDEX('base 1'!$F$2:$F$31,MATCH(1, ('base 1'!$G$2:$G$31=D106)*('base 1'!$H$2:$H$31=C106),0)),"")</f>
        <v>VICTOR RAFAEL</v>
      </c>
      <c r="F106" s="31">
        <f>VLOOKUP(H106,'base 1'!K:L,2,0)</f>
        <v>105</v>
      </c>
      <c r="G106" s="31">
        <f t="shared" si="1"/>
        <v>787.5</v>
      </c>
      <c r="H106" s="9" t="s">
        <v>1</v>
      </c>
      <c r="I106" s="10">
        <f>SUMIFS('base 1'!C:C,'base 1'!A:A,downtime!D106,'base 1'!B:B,H106)/60*J106</f>
        <v>7.5</v>
      </c>
      <c r="J106" s="2">
        <v>3</v>
      </c>
      <c r="K106" s="5" t="str">
        <f>VLOOKUP(L106,'base 1'!P:Q,2,0)</f>
        <v xml:space="preserve">ROGERIO </v>
      </c>
      <c r="L106" s="20" t="s">
        <v>3</v>
      </c>
      <c r="M106" s="20" t="s">
        <v>49</v>
      </c>
      <c r="N106" s="20" t="s">
        <v>197</v>
      </c>
    </row>
    <row r="107" spans="1:14" x14ac:dyDescent="0.3">
      <c r="A107" s="19">
        <v>46128</v>
      </c>
      <c r="B107" s="21" t="s">
        <v>2</v>
      </c>
      <c r="C107" s="2">
        <v>1</v>
      </c>
      <c r="D107" s="2">
        <v>9</v>
      </c>
      <c r="E107" s="5" t="str">
        <f t="array" ref="E107">IFERROR(INDEX('base 1'!$F$2:$F$31,MATCH(1, ('base 1'!$G$2:$G$31=D107)*('base 1'!$H$2:$H$31=C107),0)),"")</f>
        <v>VICTOR RAFAEL</v>
      </c>
      <c r="F107" s="31">
        <f>VLOOKUP(H107,'base 1'!K:L,2,0)</f>
        <v>105</v>
      </c>
      <c r="G107" s="31">
        <f t="shared" si="1"/>
        <v>7875</v>
      </c>
      <c r="H107" s="9" t="s">
        <v>1</v>
      </c>
      <c r="I107" s="10">
        <f>SUMIFS('base 1'!C:C,'base 1'!A:A,downtime!D107,'base 1'!B:B,H107)/60*J107</f>
        <v>75</v>
      </c>
      <c r="J107" s="2">
        <v>30</v>
      </c>
      <c r="K107" s="5" t="str">
        <f>VLOOKUP(L107,'base 1'!P:Q,2,0)</f>
        <v xml:space="preserve">ROGERIO </v>
      </c>
      <c r="L107" s="20" t="s">
        <v>3</v>
      </c>
      <c r="M107" s="20" t="s">
        <v>49</v>
      </c>
      <c r="N107" s="20" t="s">
        <v>198</v>
      </c>
    </row>
    <row r="108" spans="1:14" x14ac:dyDescent="0.3">
      <c r="A108" s="19">
        <v>46128</v>
      </c>
      <c r="B108" s="21" t="s">
        <v>45</v>
      </c>
      <c r="C108" s="2">
        <v>2</v>
      </c>
      <c r="D108" s="2">
        <v>3</v>
      </c>
      <c r="E108" s="5" t="str">
        <f t="array" ref="E108">IFERROR(INDEX('base 1'!$F$2:$F$31,MATCH(1, ('base 1'!$G$2:$G$31=D108)*('base 1'!$H$2:$H$31=C108),0)),"")</f>
        <v>MARLON SOUSA</v>
      </c>
      <c r="F108" s="31">
        <f>VLOOKUP(H108,'base 1'!K:L,2,0)</f>
        <v>74.489999999999995</v>
      </c>
      <c r="G108" s="31">
        <f t="shared" si="1"/>
        <v>11558.364999999998</v>
      </c>
      <c r="H108" s="9" t="s">
        <v>144</v>
      </c>
      <c r="I108" s="10">
        <f>SUMIFS('base 1'!C:C,'base 1'!A:A,downtime!D108,'base 1'!B:B,H108)/60*J108</f>
        <v>155.16666666666666</v>
      </c>
      <c r="J108" s="2">
        <v>49</v>
      </c>
      <c r="K108" s="5" t="str">
        <f>VLOOKUP(L108,'base 1'!P:Q,2,0)</f>
        <v xml:space="preserve">RODRIGO </v>
      </c>
      <c r="L108" s="20" t="s">
        <v>9</v>
      </c>
      <c r="M108" s="20" t="s">
        <v>105</v>
      </c>
      <c r="N108" s="20" t="s">
        <v>199</v>
      </c>
    </row>
    <row r="109" spans="1:14" x14ac:dyDescent="0.3">
      <c r="A109" s="19">
        <v>46128</v>
      </c>
      <c r="B109" s="21" t="s">
        <v>14</v>
      </c>
      <c r="C109" s="2">
        <v>2</v>
      </c>
      <c r="D109" s="2">
        <v>3</v>
      </c>
      <c r="E109" s="5" t="str">
        <f t="array" ref="E109">IFERROR(INDEX('base 1'!$F$2:$F$31,MATCH(1, ('base 1'!$G$2:$G$31=D109)*('base 1'!$H$2:$H$31=C109),0)),"")</f>
        <v>MARLON SOUSA</v>
      </c>
      <c r="F109" s="31">
        <f>VLOOKUP(H109,'base 1'!K:L,2,0)</f>
        <v>74.489999999999995</v>
      </c>
      <c r="G109" s="31">
        <f t="shared" si="1"/>
        <v>4010.0449999999992</v>
      </c>
      <c r="H109" s="9" t="s">
        <v>144</v>
      </c>
      <c r="I109" s="10">
        <f>SUMIFS('base 1'!C:C,'base 1'!A:A,downtime!D109,'base 1'!B:B,H109)/60*J109</f>
        <v>53.833333333333329</v>
      </c>
      <c r="J109" s="2">
        <v>17</v>
      </c>
      <c r="K109" s="5" t="str">
        <f>VLOOKUP(L109,'base 1'!P:Q,2,0)</f>
        <v xml:space="preserve">RODRIGO </v>
      </c>
      <c r="L109" s="20" t="s">
        <v>9</v>
      </c>
      <c r="M109" s="20" t="s">
        <v>105</v>
      </c>
      <c r="N109" s="20" t="s">
        <v>200</v>
      </c>
    </row>
    <row r="110" spans="1:14" x14ac:dyDescent="0.3">
      <c r="A110" s="19">
        <v>46128</v>
      </c>
      <c r="B110" s="21" t="s">
        <v>88</v>
      </c>
      <c r="C110" s="2">
        <v>2</v>
      </c>
      <c r="D110" s="2">
        <v>6</v>
      </c>
      <c r="E110" s="5" t="str">
        <f t="array" ref="E110">IFERROR(INDEX('base 1'!$F$2:$F$31,MATCH(1, ('base 1'!$G$2:$G$31=D110)*('base 1'!$H$2:$H$31=C110),0)),"")</f>
        <v/>
      </c>
      <c r="F110" s="31">
        <f>VLOOKUP(H110,'base 1'!K:L,2,0)</f>
        <v>482</v>
      </c>
      <c r="G110" s="31">
        <f t="shared" si="1"/>
        <v>6025</v>
      </c>
      <c r="H110" s="9" t="s">
        <v>186</v>
      </c>
      <c r="I110" s="10">
        <f>SUMIFS('base 1'!C:C,'base 1'!A:A,downtime!D110,'base 1'!B:B,H110)/60*J110</f>
        <v>12.5</v>
      </c>
      <c r="J110" s="2">
        <v>30</v>
      </c>
      <c r="K110" s="5" t="str">
        <f>VLOOKUP(L110,'base 1'!P:Q,2,0)</f>
        <v xml:space="preserve">JANDERSON </v>
      </c>
      <c r="L110" s="20" t="s">
        <v>0</v>
      </c>
      <c r="M110" s="20" t="s">
        <v>187</v>
      </c>
      <c r="N110" s="20" t="s">
        <v>201</v>
      </c>
    </row>
    <row r="111" spans="1:14" x14ac:dyDescent="0.3">
      <c r="A111" s="19">
        <v>46128</v>
      </c>
      <c r="B111" s="21" t="s">
        <v>45</v>
      </c>
      <c r="C111" s="2">
        <v>2</v>
      </c>
      <c r="D111" s="2">
        <v>6</v>
      </c>
      <c r="E111" s="5" t="str">
        <f t="array" ref="E111">IFERROR(INDEX('base 1'!$F$2:$F$31,MATCH(1, ('base 1'!$G$2:$G$31=D111)*('base 1'!$H$2:$H$31=C111),0)),"")</f>
        <v/>
      </c>
      <c r="F111" s="31">
        <f>VLOOKUP(H111,'base 1'!K:L,2,0)</f>
        <v>482</v>
      </c>
      <c r="G111" s="31">
        <f t="shared" si="1"/>
        <v>12050</v>
      </c>
      <c r="H111" s="9" t="s">
        <v>186</v>
      </c>
      <c r="I111" s="10">
        <f>SUMIFS('base 1'!C:C,'base 1'!A:A,downtime!D111,'base 1'!B:B,H111)/60*J111</f>
        <v>25</v>
      </c>
      <c r="J111" s="2">
        <v>60</v>
      </c>
      <c r="K111" s="5" t="str">
        <f>VLOOKUP(L111,'base 1'!P:Q,2,0)</f>
        <v xml:space="preserve">JANDERSON </v>
      </c>
      <c r="L111" s="20" t="s">
        <v>0</v>
      </c>
      <c r="M111" s="20" t="s">
        <v>188</v>
      </c>
      <c r="N111" s="20" t="s">
        <v>202</v>
      </c>
    </row>
    <row r="112" spans="1:14" x14ac:dyDescent="0.3">
      <c r="A112" s="19">
        <v>46128</v>
      </c>
      <c r="B112" s="21" t="s">
        <v>87</v>
      </c>
      <c r="C112" s="2">
        <v>2</v>
      </c>
      <c r="D112" s="2">
        <v>6</v>
      </c>
      <c r="E112" s="5" t="str">
        <f t="array" ref="E112">IFERROR(INDEX('base 1'!$F$2:$F$31,MATCH(1, ('base 1'!$G$2:$G$31=D112)*('base 1'!$H$2:$H$31=C112),0)),"")</f>
        <v/>
      </c>
      <c r="F112" s="31">
        <f>VLOOKUP(H112,'base 1'!K:L,2,0)</f>
        <v>482</v>
      </c>
      <c r="G112" s="31">
        <f t="shared" si="1"/>
        <v>8234.1666666666679</v>
      </c>
      <c r="H112" s="9" t="s">
        <v>186</v>
      </c>
      <c r="I112" s="10">
        <f>SUMIFS('base 1'!C:C,'base 1'!A:A,downtime!D112,'base 1'!B:B,H112)/60*J112</f>
        <v>17.083333333333336</v>
      </c>
      <c r="J112" s="2">
        <v>41</v>
      </c>
      <c r="K112" s="5" t="str">
        <f>VLOOKUP(L112,'base 1'!P:Q,2,0)</f>
        <v xml:space="preserve">ROGERIO </v>
      </c>
      <c r="L112" s="20" t="s">
        <v>3</v>
      </c>
      <c r="M112" s="20" t="s">
        <v>104</v>
      </c>
      <c r="N112" s="20" t="s">
        <v>203</v>
      </c>
    </row>
    <row r="113" spans="1:14" x14ac:dyDescent="0.3">
      <c r="A113" s="19">
        <v>46128</v>
      </c>
      <c r="B113" s="21" t="s">
        <v>45</v>
      </c>
      <c r="C113" s="2">
        <v>2</v>
      </c>
      <c r="D113" s="2">
        <v>8</v>
      </c>
      <c r="E113" s="5" t="str">
        <f t="array" ref="E113">IFERROR(INDEX('base 1'!$F$2:$F$31,MATCH(1, ('base 1'!$G$2:$G$31=D113)*('base 1'!$H$2:$H$31=C113),0)),"")</f>
        <v xml:space="preserve">	KAYVE SANTOS</v>
      </c>
      <c r="F113" s="31">
        <f>VLOOKUP(H113,'base 1'!K:L,2,0)</f>
        <v>280</v>
      </c>
      <c r="G113" s="31">
        <f t="shared" si="1"/>
        <v>22400</v>
      </c>
      <c r="H113" s="9" t="s">
        <v>13</v>
      </c>
      <c r="I113" s="10">
        <f>SUMIFS('base 1'!C:C,'base 1'!A:A,downtime!D113,'base 1'!B:B,H113)/60*J113</f>
        <v>80</v>
      </c>
      <c r="J113" s="2">
        <v>30</v>
      </c>
      <c r="K113" s="5" t="str">
        <f>VLOOKUP(L113,'base 1'!P:Q,2,0)</f>
        <v xml:space="preserve">ROGERIO </v>
      </c>
      <c r="L113" s="20" t="s">
        <v>3</v>
      </c>
      <c r="M113" s="20" t="s">
        <v>153</v>
      </c>
      <c r="N113" s="20" t="s">
        <v>204</v>
      </c>
    </row>
    <row r="114" spans="1:14" x14ac:dyDescent="0.3">
      <c r="A114" s="19">
        <v>46128</v>
      </c>
      <c r="B114" s="21" t="s">
        <v>45</v>
      </c>
      <c r="C114" s="2">
        <v>2</v>
      </c>
      <c r="D114" s="2">
        <v>9</v>
      </c>
      <c r="E114" s="5" t="str">
        <f t="array" ref="E114">IFERROR(INDEX('base 1'!$F$2:$F$31,MATCH(1, ('base 1'!$G$2:$G$31=D114)*('base 1'!$H$2:$H$31=C114),0)),"")</f>
        <v>DANIEL FEITOZA</v>
      </c>
      <c r="F114" s="31">
        <f>VLOOKUP(H114,'base 1'!K:L,2,0)</f>
        <v>105</v>
      </c>
      <c r="G114" s="31">
        <f t="shared" si="1"/>
        <v>9187.5</v>
      </c>
      <c r="H114" s="9" t="s">
        <v>1</v>
      </c>
      <c r="I114" s="10">
        <f>SUMIFS('base 1'!C:C,'base 1'!A:A,downtime!D114,'base 1'!B:B,H114)/60*J114</f>
        <v>87.5</v>
      </c>
      <c r="J114" s="2">
        <v>35</v>
      </c>
      <c r="K114" s="5" t="str">
        <f>VLOOKUP(L114,'base 1'!P:Q,2,0)</f>
        <v xml:space="preserve">CLEISYON </v>
      </c>
      <c r="L114" s="20" t="s">
        <v>252</v>
      </c>
      <c r="M114" s="20" t="s">
        <v>147</v>
      </c>
      <c r="N114" s="20" t="s">
        <v>205</v>
      </c>
    </row>
    <row r="115" spans="1:14" x14ac:dyDescent="0.3">
      <c r="A115" s="19">
        <v>46128</v>
      </c>
      <c r="B115" s="21" t="s">
        <v>87</v>
      </c>
      <c r="C115" s="2">
        <v>2</v>
      </c>
      <c r="D115" s="2">
        <v>9</v>
      </c>
      <c r="E115" s="5" t="str">
        <f t="array" ref="E115">IFERROR(INDEX('base 1'!$F$2:$F$31,MATCH(1, ('base 1'!$G$2:$G$31=D115)*('base 1'!$H$2:$H$31=C115),0)),"")</f>
        <v>DANIEL FEITOZA</v>
      </c>
      <c r="F115" s="31">
        <f>VLOOKUP(H115,'base 1'!K:L,2,0)</f>
        <v>105</v>
      </c>
      <c r="G115" s="31">
        <f t="shared" si="1"/>
        <v>6825</v>
      </c>
      <c r="H115" s="9" t="s">
        <v>1</v>
      </c>
      <c r="I115" s="10">
        <f>SUMIFS('base 1'!C:C,'base 1'!A:A,downtime!D115,'base 1'!B:B,H115)/60*J115</f>
        <v>65</v>
      </c>
      <c r="J115" s="2">
        <v>26</v>
      </c>
      <c r="K115" s="5" t="str">
        <f>VLOOKUP(L115,'base 1'!P:Q,2,0)</f>
        <v xml:space="preserve">RODRIGO </v>
      </c>
      <c r="L115" s="20" t="s">
        <v>9</v>
      </c>
      <c r="M115" s="20" t="s">
        <v>189</v>
      </c>
      <c r="N115" s="20" t="s">
        <v>206</v>
      </c>
    </row>
    <row r="116" spans="1:14" x14ac:dyDescent="0.3">
      <c r="A116" s="19">
        <v>46128</v>
      </c>
      <c r="B116" s="21" t="s">
        <v>88</v>
      </c>
      <c r="C116" s="2">
        <v>2</v>
      </c>
      <c r="D116" s="2">
        <v>9</v>
      </c>
      <c r="E116" s="5" t="str">
        <f t="array" ref="E116">IFERROR(INDEX('base 1'!$F$2:$F$31,MATCH(1, ('base 1'!$G$2:$G$31=D116)*('base 1'!$H$2:$H$31=C116),0)),"")</f>
        <v>DANIEL FEITOZA</v>
      </c>
      <c r="F116" s="31">
        <f>VLOOKUP(H116,'base 1'!K:L,2,0)</f>
        <v>105</v>
      </c>
      <c r="G116" s="31">
        <f t="shared" si="1"/>
        <v>4462.5</v>
      </c>
      <c r="H116" s="9" t="s">
        <v>1</v>
      </c>
      <c r="I116" s="10">
        <f>SUMIFS('base 1'!C:C,'base 1'!A:A,downtime!D116,'base 1'!B:B,H116)/60*J116</f>
        <v>42.5</v>
      </c>
      <c r="J116" s="2">
        <v>17</v>
      </c>
      <c r="K116" s="5" t="str">
        <f>VLOOKUP(L116,'base 1'!P:Q,2,0)</f>
        <v xml:space="preserve">RODRIGO </v>
      </c>
      <c r="L116" s="20" t="s">
        <v>9</v>
      </c>
      <c r="M116" s="20" t="s">
        <v>189</v>
      </c>
      <c r="N116" s="20" t="s">
        <v>206</v>
      </c>
    </row>
    <row r="117" spans="1:14" x14ac:dyDescent="0.3">
      <c r="A117" s="19">
        <v>46128</v>
      </c>
      <c r="B117" s="21" t="s">
        <v>89</v>
      </c>
      <c r="C117" s="2">
        <v>2</v>
      </c>
      <c r="D117" s="2">
        <v>9</v>
      </c>
      <c r="E117" s="5" t="str">
        <f t="array" ref="E117">IFERROR(INDEX('base 1'!$F$2:$F$31,MATCH(1, ('base 1'!$G$2:$G$31=D117)*('base 1'!$H$2:$H$31=C117),0)),"")</f>
        <v>DANIEL FEITOZA</v>
      </c>
      <c r="F117" s="31">
        <f>VLOOKUP(H117,'base 1'!K:L,2,0)</f>
        <v>105</v>
      </c>
      <c r="G117" s="31">
        <f t="shared" si="1"/>
        <v>4462.5</v>
      </c>
      <c r="H117" s="9" t="s">
        <v>1</v>
      </c>
      <c r="I117" s="10">
        <f>SUMIFS('base 1'!C:C,'base 1'!A:A,downtime!D117,'base 1'!B:B,H117)/60*J117</f>
        <v>42.5</v>
      </c>
      <c r="J117" s="2">
        <v>17</v>
      </c>
      <c r="K117" s="5" t="str">
        <f>VLOOKUP(L117,'base 1'!P:Q,2,0)</f>
        <v xml:space="preserve">CLEISYON </v>
      </c>
      <c r="L117" s="20" t="s">
        <v>252</v>
      </c>
      <c r="M117" s="20" t="s">
        <v>147</v>
      </c>
      <c r="N117" s="20" t="s">
        <v>207</v>
      </c>
    </row>
    <row r="118" spans="1:14" x14ac:dyDescent="0.3">
      <c r="A118" s="19">
        <v>46128</v>
      </c>
      <c r="B118" s="21" t="s">
        <v>92</v>
      </c>
      <c r="C118" s="4">
        <v>3</v>
      </c>
      <c r="D118" s="2">
        <v>4</v>
      </c>
      <c r="E118" s="5" t="str">
        <f t="array" ref="E118">IFERROR(INDEX('base 1'!$F$2:$F$31,MATCH(1, ('base 1'!$G$2:$G$31=D118)*('base 1'!$H$2:$H$31=C118),0)),"")</f>
        <v>CAMILA PEREIRA</v>
      </c>
      <c r="F118" s="31">
        <f>VLOOKUP(H118,'base 1'!K:L,2,0)</f>
        <v>44.57</v>
      </c>
      <c r="G118" s="31">
        <f t="shared" si="1"/>
        <v>8200.8799999999992</v>
      </c>
      <c r="H118" s="9" t="s">
        <v>10</v>
      </c>
      <c r="I118" s="10">
        <f>SUMIFS('base 1'!C:C,'base 1'!A:A,downtime!D118,'base 1'!B:B,H118)/60*J118</f>
        <v>184</v>
      </c>
      <c r="J118" s="2">
        <v>30</v>
      </c>
      <c r="K118" s="5" t="str">
        <f>VLOOKUP(L118,'base 1'!P:Q,2,0)</f>
        <v xml:space="preserve">DOUGLAS </v>
      </c>
      <c r="L118" s="20" t="s">
        <v>96</v>
      </c>
      <c r="M118" s="20" t="s">
        <v>191</v>
      </c>
      <c r="N118" s="20" t="s">
        <v>208</v>
      </c>
    </row>
    <row r="119" spans="1:14" x14ac:dyDescent="0.3">
      <c r="A119" s="19">
        <v>46128</v>
      </c>
      <c r="B119" s="21" t="s">
        <v>17</v>
      </c>
      <c r="C119" s="4">
        <v>3</v>
      </c>
      <c r="D119" s="2">
        <v>4</v>
      </c>
      <c r="E119" s="5" t="str">
        <f t="array" ref="E119">IFERROR(INDEX('base 1'!$F$2:$F$31,MATCH(1, ('base 1'!$G$2:$G$31=D119)*('base 1'!$H$2:$H$31=C119),0)),"")</f>
        <v>CAMILA PEREIRA</v>
      </c>
      <c r="F119" s="31">
        <f>VLOOKUP(H119,'base 1'!K:L,2,0)</f>
        <v>44.57</v>
      </c>
      <c r="G119" s="31">
        <f t="shared" si="1"/>
        <v>13941.496000000001</v>
      </c>
      <c r="H119" s="9" t="s">
        <v>10</v>
      </c>
      <c r="I119" s="10">
        <f>SUMIFS('base 1'!C:C,'base 1'!A:A,downtime!D119,'base 1'!B:B,H119)/60*J119</f>
        <v>312.8</v>
      </c>
      <c r="J119" s="2">
        <v>51</v>
      </c>
      <c r="K119" s="5" t="str">
        <f>VLOOKUP(L119,'base 1'!P:Q,2,0)</f>
        <v xml:space="preserve">DIOGO </v>
      </c>
      <c r="L119" s="20" t="s">
        <v>192</v>
      </c>
      <c r="M119" s="20" t="s">
        <v>193</v>
      </c>
      <c r="N119" s="20" t="s">
        <v>209</v>
      </c>
    </row>
    <row r="120" spans="1:14" x14ac:dyDescent="0.3">
      <c r="A120" s="19">
        <v>46128</v>
      </c>
      <c r="B120" s="21" t="s">
        <v>18</v>
      </c>
      <c r="C120" s="4">
        <v>3</v>
      </c>
      <c r="D120" s="2">
        <v>4</v>
      </c>
      <c r="E120" s="5" t="str">
        <f t="array" ref="E120">IFERROR(INDEX('base 1'!$F$2:$F$31,MATCH(1, ('base 1'!$G$2:$G$31=D120)*('base 1'!$H$2:$H$31=C120),0)),"")</f>
        <v>CAMILA PEREIRA</v>
      </c>
      <c r="F120" s="31">
        <f>VLOOKUP(H120,'base 1'!K:L,2,0)</f>
        <v>44.57</v>
      </c>
      <c r="G120" s="31">
        <f t="shared" si="1"/>
        <v>4920.5280000000002</v>
      </c>
      <c r="H120" s="9" t="s">
        <v>10</v>
      </c>
      <c r="I120" s="10">
        <f>SUMIFS('base 1'!C:C,'base 1'!A:A,downtime!D120,'base 1'!B:B,H120)/60*J120</f>
        <v>110.4</v>
      </c>
      <c r="J120" s="2">
        <v>18</v>
      </c>
      <c r="K120" s="5" t="str">
        <f>VLOOKUP(L120,'base 1'!P:Q,2,0)</f>
        <v xml:space="preserve">ROGERIO </v>
      </c>
      <c r="L120" s="20" t="s">
        <v>3</v>
      </c>
      <c r="M120" s="20" t="s">
        <v>47</v>
      </c>
      <c r="N120" s="20" t="s">
        <v>210</v>
      </c>
    </row>
    <row r="121" spans="1:14" x14ac:dyDescent="0.3">
      <c r="A121" s="19">
        <v>46128</v>
      </c>
      <c r="B121" s="21" t="s">
        <v>43</v>
      </c>
      <c r="C121" s="4">
        <v>3</v>
      </c>
      <c r="D121" s="2">
        <v>4</v>
      </c>
      <c r="E121" s="5" t="str">
        <f t="array" ref="E121">IFERROR(INDEX('base 1'!$F$2:$F$31,MATCH(1, ('base 1'!$G$2:$G$31=D121)*('base 1'!$H$2:$H$31=C121),0)),"")</f>
        <v>CAMILA PEREIRA</v>
      </c>
      <c r="F121" s="31">
        <f>VLOOKUP(H121,'base 1'!K:L,2,0)</f>
        <v>44.57</v>
      </c>
      <c r="G121" s="31">
        <f t="shared" si="1"/>
        <v>9020.9680000000008</v>
      </c>
      <c r="H121" s="9" t="s">
        <v>10</v>
      </c>
      <c r="I121" s="10">
        <f>SUMIFS('base 1'!C:C,'base 1'!A:A,downtime!D121,'base 1'!B:B,H121)/60*J121</f>
        <v>202.4</v>
      </c>
      <c r="J121" s="2">
        <v>33</v>
      </c>
      <c r="K121" s="5" t="str">
        <f>VLOOKUP(L121,'base 1'!P:Q,2,0)</f>
        <v xml:space="preserve">JANDERSON </v>
      </c>
      <c r="L121" s="20" t="s">
        <v>0</v>
      </c>
      <c r="M121" s="20" t="s">
        <v>98</v>
      </c>
      <c r="N121" s="20" t="s">
        <v>211</v>
      </c>
    </row>
    <row r="122" spans="1:14" x14ac:dyDescent="0.3">
      <c r="A122" s="19">
        <v>46128</v>
      </c>
      <c r="B122" s="21" t="s">
        <v>90</v>
      </c>
      <c r="C122" s="4">
        <v>3</v>
      </c>
      <c r="D122" s="2">
        <v>5</v>
      </c>
      <c r="E122" s="5" t="str">
        <f t="array" ref="E122">IFERROR(INDEX('base 1'!$F$2:$F$31,MATCH(1, ('base 1'!$G$2:$G$31=D122)*('base 1'!$H$2:$H$31=C122),0)),"")</f>
        <v>BRUNO GOMES</v>
      </c>
      <c r="F122" s="31">
        <f>VLOOKUP(H122,'base 1'!K:L,2,0)</f>
        <v>122</v>
      </c>
      <c r="G122" s="31">
        <f t="shared" si="1"/>
        <v>2440</v>
      </c>
      <c r="H122" s="9" t="s">
        <v>11</v>
      </c>
      <c r="I122" s="10">
        <f>SUMIFS('base 1'!C:C,'base 1'!A:A,downtime!D122,'base 1'!B:B,H122)/60*J122</f>
        <v>20</v>
      </c>
      <c r="J122" s="2">
        <v>10</v>
      </c>
      <c r="K122" s="5" t="str">
        <f>VLOOKUP(L122,'base 1'!P:Q,2,0)</f>
        <v xml:space="preserve">JANDERSON </v>
      </c>
      <c r="L122" s="20" t="s">
        <v>0</v>
      </c>
      <c r="M122" s="20" t="s">
        <v>190</v>
      </c>
      <c r="N122" s="20" t="s">
        <v>212</v>
      </c>
    </row>
    <row r="123" spans="1:14" x14ac:dyDescent="0.3">
      <c r="A123" s="19">
        <v>46128</v>
      </c>
      <c r="B123" s="21" t="s">
        <v>19</v>
      </c>
      <c r="C123" s="4">
        <v>3</v>
      </c>
      <c r="D123" s="2">
        <v>8</v>
      </c>
      <c r="E123" s="5" t="str">
        <f t="array" ref="E123">IFERROR(INDEX('base 1'!$F$2:$F$31,MATCH(1, ('base 1'!$G$2:$G$31=D123)*('base 1'!$H$2:$H$31=C123),0)),"")</f>
        <v>ELIAS EMANOEL</v>
      </c>
      <c r="F123" s="31">
        <f>VLOOKUP(H123,'base 1'!K:L,2,0)</f>
        <v>280</v>
      </c>
      <c r="G123" s="31">
        <f t="shared" si="1"/>
        <v>7466.6666666666661</v>
      </c>
      <c r="H123" s="9" t="s">
        <v>13</v>
      </c>
      <c r="I123" s="10">
        <f>SUMIFS('base 1'!C:C,'base 1'!A:A,downtime!D123,'base 1'!B:B,H123)/60*J123</f>
        <v>26.666666666666664</v>
      </c>
      <c r="J123" s="2">
        <v>10</v>
      </c>
      <c r="K123" s="5" t="str">
        <f>VLOOKUP(L123,'base 1'!P:Q,2,0)</f>
        <v xml:space="preserve">ROGERIO </v>
      </c>
      <c r="L123" s="20" t="s">
        <v>3</v>
      </c>
      <c r="M123" s="20" t="s">
        <v>47</v>
      </c>
      <c r="N123" s="20" t="s">
        <v>214</v>
      </c>
    </row>
    <row r="124" spans="1:14" x14ac:dyDescent="0.3">
      <c r="A124" s="19">
        <v>46128</v>
      </c>
      <c r="B124" s="21" t="s">
        <v>19</v>
      </c>
      <c r="C124" s="4">
        <v>3</v>
      </c>
      <c r="D124" s="2">
        <v>9</v>
      </c>
      <c r="E124" s="5" t="str">
        <f t="array" ref="E124">IFERROR(INDEX('base 1'!$F$2:$F$31,MATCH(1, ('base 1'!$G$2:$G$31=D124)*('base 1'!$H$2:$H$31=C124),0)),"")</f>
        <v xml:space="preserve">	GISELE PINHEIRO</v>
      </c>
      <c r="F124" s="31">
        <f>VLOOKUP(H124,'base 1'!K:L,2,0)</f>
        <v>105</v>
      </c>
      <c r="G124" s="31">
        <f t="shared" si="1"/>
        <v>7350</v>
      </c>
      <c r="H124" s="9" t="s">
        <v>1</v>
      </c>
      <c r="I124" s="10">
        <f>SUMIFS('base 1'!C:C,'base 1'!A:A,downtime!D124,'base 1'!B:B,H124)/60*J124</f>
        <v>70</v>
      </c>
      <c r="J124" s="2">
        <v>28</v>
      </c>
      <c r="K124" s="5" t="str">
        <f>VLOOKUP(L124,'base 1'!P:Q,2,0)</f>
        <v xml:space="preserve">CLEISYON </v>
      </c>
      <c r="L124" s="20" t="s">
        <v>252</v>
      </c>
      <c r="M124" s="20" t="s">
        <v>98</v>
      </c>
      <c r="N124" s="20" t="s">
        <v>213</v>
      </c>
    </row>
    <row r="125" spans="1:14" x14ac:dyDescent="0.3">
      <c r="A125" s="23">
        <v>46128</v>
      </c>
      <c r="B125" s="24" t="s">
        <v>7</v>
      </c>
      <c r="C125" s="26">
        <v>1</v>
      </c>
      <c r="D125" s="26">
        <v>6</v>
      </c>
      <c r="E125" s="5" t="str">
        <f t="array" ref="E125">IFERROR(INDEX('base 1'!$F$2:$F$31,MATCH(1, ('base 1'!$G$2:$G$31=D125)*('base 1'!$H$2:$H$31=C125),0)),"")</f>
        <v/>
      </c>
      <c r="F125" s="31">
        <f>VLOOKUP(H125,'base 1'!K:L,2,0)</f>
        <v>482</v>
      </c>
      <c r="G125" s="31">
        <f t="shared" si="1"/>
        <v>12050</v>
      </c>
      <c r="H125" s="22" t="s">
        <v>186</v>
      </c>
      <c r="I125" s="10">
        <f>SUMIFS('base 1'!C:C,'base 1'!A:A,downtime!D125,'base 1'!B:B,H125)/60*J125</f>
        <v>25</v>
      </c>
      <c r="J125" s="28">
        <v>60</v>
      </c>
      <c r="K125" s="5" t="str">
        <f>VLOOKUP(L125,'base 1'!P:Q,2,0)</f>
        <v xml:space="preserve">RODRIGO </v>
      </c>
      <c r="L125" s="25" t="s">
        <v>9</v>
      </c>
      <c r="M125" s="20" t="s">
        <v>189</v>
      </c>
      <c r="N125" s="20" t="s">
        <v>215</v>
      </c>
    </row>
    <row r="126" spans="1:14" x14ac:dyDescent="0.3">
      <c r="A126" s="19">
        <v>46128</v>
      </c>
      <c r="B126" s="21" t="s">
        <v>4</v>
      </c>
      <c r="C126" s="4">
        <v>1</v>
      </c>
      <c r="D126" s="4">
        <v>6</v>
      </c>
      <c r="E126" s="5" t="str">
        <f t="array" ref="E126">IFERROR(INDEX('base 1'!$F$2:$F$31,MATCH(1, ('base 1'!$G$2:$G$31=D126)*('base 1'!$H$2:$H$31=C126),0)),"")</f>
        <v/>
      </c>
      <c r="F126" s="31">
        <f>VLOOKUP(H126,'base 1'!K:L,2,0)</f>
        <v>482</v>
      </c>
      <c r="G126" s="31">
        <f t="shared" si="1"/>
        <v>12050</v>
      </c>
      <c r="H126" s="13" t="s">
        <v>186</v>
      </c>
      <c r="I126" s="10">
        <f>SUMIFS('base 1'!C:C,'base 1'!A:A,downtime!D126,'base 1'!B:B,H126)/60*J126</f>
        <v>25</v>
      </c>
      <c r="J126" s="2">
        <v>60</v>
      </c>
      <c r="K126" s="5" t="str">
        <f>VLOOKUP(L126,'base 1'!P:Q,2,0)</f>
        <v xml:space="preserve">RODRIGO </v>
      </c>
      <c r="L126" s="20" t="s">
        <v>9</v>
      </c>
      <c r="M126" s="20" t="s">
        <v>189</v>
      </c>
      <c r="N126" s="20" t="s">
        <v>215</v>
      </c>
    </row>
    <row r="127" spans="1:14" x14ac:dyDescent="0.3">
      <c r="A127" s="19">
        <v>46128</v>
      </c>
      <c r="B127" s="21" t="s">
        <v>2</v>
      </c>
      <c r="C127" s="4">
        <v>1</v>
      </c>
      <c r="D127" s="4">
        <v>6</v>
      </c>
      <c r="E127" s="5" t="str">
        <f t="array" ref="E127">IFERROR(INDEX('base 1'!$F$2:$F$31,MATCH(1, ('base 1'!$G$2:$G$31=D127)*('base 1'!$H$2:$H$31=C127),0)),"")</f>
        <v/>
      </c>
      <c r="F127" s="31">
        <f>VLOOKUP(H127,'base 1'!K:L,2,0)</f>
        <v>482</v>
      </c>
      <c r="G127" s="31">
        <f t="shared" si="1"/>
        <v>12050</v>
      </c>
      <c r="H127" s="13" t="s">
        <v>186</v>
      </c>
      <c r="I127" s="10">
        <f>SUMIFS('base 1'!C:C,'base 1'!A:A,downtime!D127,'base 1'!B:B,H127)/60*J127</f>
        <v>25</v>
      </c>
      <c r="J127" s="2">
        <v>60</v>
      </c>
      <c r="K127" s="5" t="str">
        <f>VLOOKUP(L127,'base 1'!P:Q,2,0)</f>
        <v xml:space="preserve">RODRIGO </v>
      </c>
      <c r="L127" s="20" t="s">
        <v>9</v>
      </c>
      <c r="M127" s="20" t="s">
        <v>189</v>
      </c>
      <c r="N127" s="20" t="s">
        <v>215</v>
      </c>
    </row>
  </sheetData>
  <autoFilter ref="A2:P127" xr:uid="{40A44410-15BB-46A0-8397-3A0D098D7C72}"/>
  <mergeCells count="1">
    <mergeCell ref="A1:P1"/>
  </mergeCells>
  <dataValidations count="1">
    <dataValidation type="list" allowBlank="1" showInputMessage="1" showErrorMessage="1" sqref="L1 L3:L36 L38 L40:L49 L58:L74 L77:L104 L106:L113 L115:L116 L118:L123 L125:L1048576" xr:uid="{93FCE1A7-3585-4C3D-B5E1-E6409BE93AA9}">
      <formula1>#REF!</formula1>
    </dataValidation>
  </dataValidations>
  <pageMargins left="0.20833333333333334" right="0.20833333333333334" top="0.27777777777777779" bottom="0.27777777777777779" header="0.27777777777777779" footer="0.27777777777777779"/>
  <pageSetup paperSize="9" scale="3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898A-40E3-4D31-8565-BEFE361484B0}">
  <dimension ref="A1:Q36"/>
  <sheetViews>
    <sheetView zoomScale="85" zoomScaleNormal="85" workbookViewId="0">
      <selection activeCell="L10" sqref="L10"/>
    </sheetView>
  </sheetViews>
  <sheetFormatPr defaultRowHeight="14.4" x14ac:dyDescent="0.3"/>
  <cols>
    <col min="2" max="2" width="13.5546875" bestFit="1" customWidth="1"/>
    <col min="6" max="6" width="39.6640625" customWidth="1"/>
    <col min="7" max="7" width="14.44140625" style="14" customWidth="1"/>
    <col min="8" max="8" width="12.109375" style="16" customWidth="1"/>
    <col min="11" max="11" width="23.88671875" style="3" customWidth="1"/>
    <col min="12" max="12" width="12.33203125" style="3" bestFit="1" customWidth="1"/>
    <col min="16" max="16" width="35" bestFit="1" customWidth="1"/>
    <col min="17" max="17" width="13.6640625" bestFit="1" customWidth="1"/>
  </cols>
  <sheetData>
    <row r="1" spans="1:17" x14ac:dyDescent="0.3">
      <c r="A1" s="4" t="s">
        <v>39</v>
      </c>
      <c r="B1" s="4" t="s">
        <v>40</v>
      </c>
      <c r="C1" s="4" t="s">
        <v>41</v>
      </c>
      <c r="F1" s="4" t="s">
        <v>51</v>
      </c>
      <c r="G1" s="9" t="s">
        <v>61</v>
      </c>
      <c r="H1" s="9" t="s">
        <v>52</v>
      </c>
      <c r="K1" s="9" t="s">
        <v>237</v>
      </c>
      <c r="L1" s="9" t="s">
        <v>238</v>
      </c>
      <c r="P1" t="s">
        <v>254</v>
      </c>
      <c r="Q1" t="s">
        <v>253</v>
      </c>
    </row>
    <row r="2" spans="1:17" x14ac:dyDescent="0.3">
      <c r="A2" s="4">
        <v>1</v>
      </c>
      <c r="B2" s="9" t="s">
        <v>1</v>
      </c>
      <c r="C2" s="4">
        <v>220</v>
      </c>
      <c r="F2" s="1" t="s">
        <v>53</v>
      </c>
      <c r="G2" s="9">
        <v>1</v>
      </c>
      <c r="H2" s="9">
        <v>1</v>
      </c>
      <c r="K2" s="13" t="s">
        <v>50</v>
      </c>
      <c r="L2" s="27">
        <v>93</v>
      </c>
      <c r="P2" s="20" t="s">
        <v>6</v>
      </c>
      <c r="Q2" s="1" t="s">
        <v>241</v>
      </c>
    </row>
    <row r="3" spans="1:17" x14ac:dyDescent="0.3">
      <c r="A3" s="4">
        <v>3</v>
      </c>
      <c r="B3" s="9" t="s">
        <v>15</v>
      </c>
      <c r="C3" s="4">
        <v>120</v>
      </c>
      <c r="F3" s="1" t="s">
        <v>54</v>
      </c>
      <c r="G3" s="9">
        <v>2</v>
      </c>
      <c r="H3" s="9">
        <v>1</v>
      </c>
      <c r="K3" s="9" t="s">
        <v>1</v>
      </c>
      <c r="L3" s="27">
        <v>105</v>
      </c>
      <c r="P3" s="20" t="s">
        <v>0</v>
      </c>
      <c r="Q3" s="1" t="s">
        <v>242</v>
      </c>
    </row>
    <row r="4" spans="1:17" x14ac:dyDescent="0.3">
      <c r="A4" s="4">
        <v>4</v>
      </c>
      <c r="B4" s="9" t="s">
        <v>10</v>
      </c>
      <c r="C4" s="4">
        <v>368</v>
      </c>
      <c r="F4" s="1" t="s">
        <v>84</v>
      </c>
      <c r="G4" s="9">
        <v>3</v>
      </c>
      <c r="H4" s="9">
        <v>1</v>
      </c>
      <c r="K4" s="2" t="s">
        <v>216</v>
      </c>
      <c r="L4" s="27">
        <v>97</v>
      </c>
      <c r="P4" s="20" t="s">
        <v>3</v>
      </c>
      <c r="Q4" s="1" t="s">
        <v>35</v>
      </c>
    </row>
    <row r="5" spans="1:17" x14ac:dyDescent="0.3">
      <c r="A5" s="4">
        <v>5</v>
      </c>
      <c r="B5" s="9" t="s">
        <v>11</v>
      </c>
      <c r="C5" s="4">
        <v>120</v>
      </c>
      <c r="F5" s="1" t="s">
        <v>55</v>
      </c>
      <c r="G5" s="9">
        <v>4</v>
      </c>
      <c r="H5" s="9">
        <v>1</v>
      </c>
      <c r="K5" s="13" t="s">
        <v>93</v>
      </c>
      <c r="L5" s="27">
        <v>274</v>
      </c>
      <c r="P5" s="20" t="s">
        <v>102</v>
      </c>
      <c r="Q5" s="1" t="s">
        <v>242</v>
      </c>
    </row>
    <row r="6" spans="1:17" x14ac:dyDescent="0.3">
      <c r="A6" s="4">
        <v>8</v>
      </c>
      <c r="B6" s="9" t="s">
        <v>13</v>
      </c>
      <c r="C6" s="4">
        <v>160</v>
      </c>
      <c r="F6" s="1" t="s">
        <v>56</v>
      </c>
      <c r="G6" s="9">
        <v>5</v>
      </c>
      <c r="H6" s="9">
        <v>1</v>
      </c>
      <c r="K6" s="2" t="s">
        <v>217</v>
      </c>
      <c r="L6" s="27">
        <v>289</v>
      </c>
      <c r="P6" s="20" t="s">
        <v>9</v>
      </c>
      <c r="Q6" s="1" t="s">
        <v>36</v>
      </c>
    </row>
    <row r="7" spans="1:17" x14ac:dyDescent="0.3">
      <c r="A7" s="4">
        <v>9</v>
      </c>
      <c r="B7" s="9" t="s">
        <v>1</v>
      </c>
      <c r="C7" s="4">
        <v>150</v>
      </c>
      <c r="F7" s="1" t="s">
        <v>57</v>
      </c>
      <c r="G7" s="9">
        <v>7</v>
      </c>
      <c r="H7" s="9">
        <v>1</v>
      </c>
      <c r="K7" s="2" t="s">
        <v>218</v>
      </c>
      <c r="L7" s="27">
        <v>223.11</v>
      </c>
      <c r="P7" s="20" t="s">
        <v>12</v>
      </c>
      <c r="Q7" s="1" t="s">
        <v>243</v>
      </c>
    </row>
    <row r="8" spans="1:17" x14ac:dyDescent="0.3">
      <c r="A8" s="29">
        <v>2</v>
      </c>
      <c r="B8" s="13" t="s">
        <v>93</v>
      </c>
      <c r="C8" s="29">
        <v>117</v>
      </c>
      <c r="F8" s="1" t="s">
        <v>58</v>
      </c>
      <c r="G8" s="9">
        <v>8</v>
      </c>
      <c r="H8" s="9">
        <v>1</v>
      </c>
      <c r="K8" s="13" t="s">
        <v>94</v>
      </c>
      <c r="L8" s="27">
        <v>218</v>
      </c>
      <c r="P8" s="20" t="s">
        <v>96</v>
      </c>
      <c r="Q8" s="1" t="s">
        <v>244</v>
      </c>
    </row>
    <row r="9" spans="1:17" x14ac:dyDescent="0.3">
      <c r="A9" s="29">
        <v>7</v>
      </c>
      <c r="B9" s="13" t="s">
        <v>255</v>
      </c>
      <c r="C9" s="29">
        <v>72</v>
      </c>
      <c r="F9" s="1" t="s">
        <v>59</v>
      </c>
      <c r="G9" s="9">
        <v>9</v>
      </c>
      <c r="H9" s="9">
        <v>1</v>
      </c>
      <c r="K9" s="2" t="s">
        <v>219</v>
      </c>
      <c r="L9" s="27">
        <v>437.29</v>
      </c>
      <c r="P9" s="20" t="s">
        <v>192</v>
      </c>
      <c r="Q9" s="1" t="s">
        <v>245</v>
      </c>
    </row>
    <row r="10" spans="1:17" x14ac:dyDescent="0.3">
      <c r="A10" s="29">
        <v>5</v>
      </c>
      <c r="B10" s="13" t="s">
        <v>95</v>
      </c>
      <c r="C10" s="29">
        <v>140</v>
      </c>
      <c r="F10" s="1" t="s">
        <v>60</v>
      </c>
      <c r="G10" s="9">
        <v>11</v>
      </c>
      <c r="H10" s="9">
        <v>1</v>
      </c>
      <c r="K10" s="2" t="s">
        <v>258</v>
      </c>
      <c r="L10" s="27">
        <v>187.99</v>
      </c>
      <c r="P10" s="20" t="s">
        <v>240</v>
      </c>
      <c r="Q10" s="1" t="s">
        <v>38</v>
      </c>
    </row>
    <row r="11" spans="1:17" x14ac:dyDescent="0.3">
      <c r="A11" s="29">
        <v>2</v>
      </c>
      <c r="B11" s="13" t="s">
        <v>94</v>
      </c>
      <c r="C11" s="29">
        <v>114</v>
      </c>
      <c r="F11" s="1" t="s">
        <v>74</v>
      </c>
      <c r="G11" s="13" t="s">
        <v>72</v>
      </c>
      <c r="H11" s="9">
        <v>1</v>
      </c>
      <c r="K11" s="9" t="s">
        <v>15</v>
      </c>
      <c r="L11" s="27">
        <v>172</v>
      </c>
      <c r="P11" s="20" t="s">
        <v>21</v>
      </c>
      <c r="Q11" s="1" t="s">
        <v>37</v>
      </c>
    </row>
    <row r="12" spans="1:17" x14ac:dyDescent="0.3">
      <c r="A12" s="29">
        <v>6</v>
      </c>
      <c r="B12" s="9" t="s">
        <v>186</v>
      </c>
      <c r="C12" s="29">
        <v>25</v>
      </c>
      <c r="F12" s="1" t="s">
        <v>75</v>
      </c>
      <c r="G12" s="13" t="s">
        <v>73</v>
      </c>
      <c r="H12" s="9">
        <v>1</v>
      </c>
      <c r="K12" s="2" t="s">
        <v>144</v>
      </c>
      <c r="L12" s="27">
        <v>74.489999999999995</v>
      </c>
      <c r="P12" s="20" t="s">
        <v>252</v>
      </c>
      <c r="Q12" s="1" t="s">
        <v>246</v>
      </c>
    </row>
    <row r="13" spans="1:17" x14ac:dyDescent="0.3">
      <c r="A13" s="29">
        <v>11</v>
      </c>
      <c r="B13" s="2" t="s">
        <v>15</v>
      </c>
      <c r="C13" s="29">
        <v>130</v>
      </c>
      <c r="F13" s="1" t="s">
        <v>62</v>
      </c>
      <c r="G13" s="9">
        <v>1</v>
      </c>
      <c r="H13" s="9">
        <v>2</v>
      </c>
      <c r="K13" s="13" t="s">
        <v>10</v>
      </c>
      <c r="L13" s="27">
        <v>44.57</v>
      </c>
      <c r="P13" s="20" t="s">
        <v>247</v>
      </c>
      <c r="Q13" s="1" t="s">
        <v>246</v>
      </c>
    </row>
    <row r="14" spans="1:17" x14ac:dyDescent="0.3">
      <c r="A14" s="29">
        <v>1</v>
      </c>
      <c r="B14" s="13" t="s">
        <v>50</v>
      </c>
      <c r="C14" s="29">
        <v>190</v>
      </c>
      <c r="F14" s="1" t="s">
        <v>63</v>
      </c>
      <c r="G14" s="9">
        <v>2</v>
      </c>
      <c r="H14" s="9">
        <v>2</v>
      </c>
      <c r="K14" s="2" t="s">
        <v>220</v>
      </c>
      <c r="L14" s="27">
        <v>57</v>
      </c>
      <c r="P14" s="20" t="s">
        <v>248</v>
      </c>
      <c r="Q14" s="1" t="s">
        <v>249</v>
      </c>
    </row>
    <row r="15" spans="1:17" x14ac:dyDescent="0.3">
      <c r="A15" s="29">
        <v>9</v>
      </c>
      <c r="B15" s="13" t="s">
        <v>50</v>
      </c>
      <c r="C15" s="29">
        <v>150</v>
      </c>
      <c r="F15" s="1" t="s">
        <v>64</v>
      </c>
      <c r="G15" s="9">
        <v>3</v>
      </c>
      <c r="H15" s="9">
        <v>2</v>
      </c>
      <c r="K15" s="3" t="s">
        <v>221</v>
      </c>
      <c r="L15" s="27">
        <v>56.83</v>
      </c>
      <c r="P15" s="20" t="s">
        <v>250</v>
      </c>
      <c r="Q15" s="1" t="s">
        <v>251</v>
      </c>
    </row>
    <row r="16" spans="1:17" x14ac:dyDescent="0.3">
      <c r="A16" s="29">
        <v>3</v>
      </c>
      <c r="B16" s="13" t="s">
        <v>144</v>
      </c>
      <c r="C16" s="29">
        <v>190</v>
      </c>
      <c r="F16" s="1" t="s">
        <v>65</v>
      </c>
      <c r="G16" s="9">
        <v>4</v>
      </c>
      <c r="H16" s="9">
        <v>2</v>
      </c>
      <c r="K16" s="2" t="s">
        <v>222</v>
      </c>
      <c r="L16" s="27">
        <v>37</v>
      </c>
    </row>
    <row r="17" spans="1:12" x14ac:dyDescent="0.3">
      <c r="A17" s="29">
        <v>2</v>
      </c>
      <c r="B17" s="13" t="s">
        <v>144</v>
      </c>
      <c r="C17" s="29">
        <v>94</v>
      </c>
      <c r="F17" s="1" t="s">
        <v>66</v>
      </c>
      <c r="G17" s="9">
        <v>5</v>
      </c>
      <c r="H17" s="9">
        <v>2</v>
      </c>
      <c r="K17" s="2" t="s">
        <v>95</v>
      </c>
      <c r="L17" s="27">
        <v>205</v>
      </c>
    </row>
    <row r="18" spans="1:12" x14ac:dyDescent="0.3">
      <c r="F18" s="1" t="s">
        <v>67</v>
      </c>
      <c r="G18" s="9">
        <v>8</v>
      </c>
      <c r="H18" s="9">
        <v>2</v>
      </c>
      <c r="K18" s="2" t="s">
        <v>256</v>
      </c>
      <c r="L18" s="27">
        <v>308.58999999999997</v>
      </c>
    </row>
    <row r="19" spans="1:12" x14ac:dyDescent="0.3">
      <c r="F19" s="1" t="s">
        <v>68</v>
      </c>
      <c r="G19" s="9">
        <v>9</v>
      </c>
      <c r="H19" s="9">
        <v>2</v>
      </c>
      <c r="K19" s="2" t="s">
        <v>223</v>
      </c>
      <c r="L19" s="27">
        <v>166</v>
      </c>
    </row>
    <row r="20" spans="1:12" x14ac:dyDescent="0.3">
      <c r="F20" s="1" t="s">
        <v>69</v>
      </c>
      <c r="G20" s="9">
        <v>11</v>
      </c>
      <c r="H20" s="9">
        <v>2</v>
      </c>
      <c r="K20" s="35" t="s">
        <v>11</v>
      </c>
      <c r="L20" s="27">
        <v>122</v>
      </c>
    </row>
    <row r="21" spans="1:12" x14ac:dyDescent="0.3">
      <c r="F21" s="1" t="s">
        <v>70</v>
      </c>
      <c r="G21" s="13" t="s">
        <v>72</v>
      </c>
      <c r="H21" s="9">
        <v>2</v>
      </c>
      <c r="K21" s="2" t="s">
        <v>257</v>
      </c>
      <c r="L21" s="27">
        <v>150.4</v>
      </c>
    </row>
    <row r="22" spans="1:12" x14ac:dyDescent="0.3">
      <c r="F22" s="1" t="s">
        <v>71</v>
      </c>
      <c r="G22" s="13" t="s">
        <v>73</v>
      </c>
      <c r="H22" s="9">
        <v>2</v>
      </c>
      <c r="K22" s="2" t="s">
        <v>224</v>
      </c>
      <c r="L22" s="27">
        <v>482</v>
      </c>
    </row>
    <row r="23" spans="1:12" x14ac:dyDescent="0.3">
      <c r="F23" s="1" t="s">
        <v>76</v>
      </c>
      <c r="G23" s="13">
        <v>1</v>
      </c>
      <c r="H23" s="9">
        <v>3</v>
      </c>
      <c r="K23" s="2" t="s">
        <v>225</v>
      </c>
      <c r="L23" s="27">
        <v>373.62</v>
      </c>
    </row>
    <row r="24" spans="1:12" x14ac:dyDescent="0.3">
      <c r="F24" s="1" t="s">
        <v>76</v>
      </c>
      <c r="G24" s="13">
        <v>2</v>
      </c>
      <c r="H24" s="9">
        <v>3</v>
      </c>
      <c r="K24" s="3" t="s">
        <v>226</v>
      </c>
      <c r="L24" s="27">
        <v>1628</v>
      </c>
    </row>
    <row r="25" spans="1:12" x14ac:dyDescent="0.3">
      <c r="F25" s="1" t="s">
        <v>77</v>
      </c>
      <c r="G25" s="13">
        <v>3</v>
      </c>
      <c r="H25" s="9">
        <v>3</v>
      </c>
      <c r="K25" s="2" t="s">
        <v>227</v>
      </c>
      <c r="L25" s="27">
        <v>314.08999999999997</v>
      </c>
    </row>
    <row r="26" spans="1:12" x14ac:dyDescent="0.3">
      <c r="F26" s="1" t="s">
        <v>78</v>
      </c>
      <c r="G26" s="13">
        <v>4</v>
      </c>
      <c r="H26" s="9">
        <v>3</v>
      </c>
      <c r="K26" s="2" t="s">
        <v>228</v>
      </c>
      <c r="L26" s="27">
        <v>5061.71</v>
      </c>
    </row>
    <row r="27" spans="1:12" x14ac:dyDescent="0.3">
      <c r="F27" s="1" t="s">
        <v>80</v>
      </c>
      <c r="G27" s="13">
        <v>5</v>
      </c>
      <c r="H27" s="9">
        <v>3</v>
      </c>
      <c r="K27" s="2" t="s">
        <v>229</v>
      </c>
      <c r="L27" s="27">
        <v>4878</v>
      </c>
    </row>
    <row r="28" spans="1:12" x14ac:dyDescent="0.3">
      <c r="F28" s="1" t="s">
        <v>82</v>
      </c>
      <c r="G28" s="13">
        <v>9</v>
      </c>
      <c r="H28" s="9">
        <v>3</v>
      </c>
      <c r="K28" s="2" t="s">
        <v>230</v>
      </c>
      <c r="L28" s="27">
        <v>1182</v>
      </c>
    </row>
    <row r="29" spans="1:12" x14ac:dyDescent="0.3">
      <c r="F29" s="12" t="s">
        <v>81</v>
      </c>
      <c r="G29" s="15">
        <v>11</v>
      </c>
      <c r="H29" s="9">
        <v>3</v>
      </c>
      <c r="K29" s="3" t="s">
        <v>231</v>
      </c>
      <c r="L29" s="27">
        <v>1172</v>
      </c>
    </row>
    <row r="30" spans="1:12" x14ac:dyDescent="0.3">
      <c r="F30" s="1" t="s">
        <v>83</v>
      </c>
      <c r="G30" s="13" t="s">
        <v>72</v>
      </c>
      <c r="H30" s="9">
        <v>3</v>
      </c>
      <c r="K30" s="2" t="s">
        <v>232</v>
      </c>
      <c r="L30" s="27">
        <v>3053</v>
      </c>
    </row>
    <row r="31" spans="1:12" x14ac:dyDescent="0.3">
      <c r="F31" s="1" t="s">
        <v>79</v>
      </c>
      <c r="G31" s="9">
        <v>8</v>
      </c>
      <c r="H31" s="9">
        <v>3</v>
      </c>
      <c r="K31" s="2" t="s">
        <v>233</v>
      </c>
      <c r="L31" s="27">
        <v>335.5</v>
      </c>
    </row>
    <row r="32" spans="1:12" x14ac:dyDescent="0.3">
      <c r="K32" s="2" t="s">
        <v>234</v>
      </c>
      <c r="L32" s="27">
        <v>194</v>
      </c>
    </row>
    <row r="33" spans="11:12" x14ac:dyDescent="0.3">
      <c r="K33" s="2" t="s">
        <v>235</v>
      </c>
      <c r="L33" s="27">
        <v>381</v>
      </c>
    </row>
    <row r="34" spans="11:12" x14ac:dyDescent="0.3">
      <c r="K34" s="2" t="s">
        <v>236</v>
      </c>
      <c r="L34" s="27">
        <v>424.08</v>
      </c>
    </row>
    <row r="35" spans="11:12" x14ac:dyDescent="0.3">
      <c r="K35" s="13" t="s">
        <v>255</v>
      </c>
      <c r="L35" s="27">
        <v>212.66</v>
      </c>
    </row>
    <row r="36" spans="11:12" x14ac:dyDescent="0.3">
      <c r="K36" s="9" t="s">
        <v>13</v>
      </c>
      <c r="L36" s="27">
        <v>280</v>
      </c>
    </row>
  </sheetData>
  <dataValidations count="1">
    <dataValidation type="list" allowBlank="1" showInputMessage="1" showErrorMessage="1" sqref="P2:P9" xr:uid="{E29618E7-4324-43E6-8C9B-2585F325F7B5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downtime</vt:lpstr>
      <vt:lpstr>base 1</vt:lpstr>
      <vt:lpstr>downtime!Area_de_impressao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Diana de Lima Araujo</dc:creator>
  <cp:lastModifiedBy>Janderson PK</cp:lastModifiedBy>
  <dcterms:created xsi:type="dcterms:W3CDTF">2026-03-10T12:07:29Z</dcterms:created>
  <dcterms:modified xsi:type="dcterms:W3CDTF">2026-04-22T16:30:04Z</dcterms:modified>
</cp:coreProperties>
</file>